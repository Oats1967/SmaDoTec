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ELOP\Cplusplus\EasyControl\Doc\"/>
    </mc:Choice>
  </mc:AlternateContent>
  <xr:revisionPtr revIDLastSave="0" documentId="13_ncr:1_{DB1E747D-96A9-43BF-8F38-C20E3999F861}" xr6:coauthVersionLast="47" xr6:coauthVersionMax="47" xr10:uidLastSave="{00000000-0000-0000-0000-000000000000}"/>
  <bookViews>
    <workbookView xWindow="10740" yWindow="675" windowWidth="14820" windowHeight="14940" xr2:uid="{070EEB4A-840B-45A6-85BA-BBD57FC00134}"/>
  </bookViews>
  <sheets>
    <sheet name="Dosierer" sheetId="1" r:id="rId1"/>
    <sheet name="Line 1-4" sheetId="3" r:id="rId2"/>
    <sheet name="Line 5-6" sheetId="4" r:id="rId3"/>
    <sheet name="Line 6-12" sheetId="5" r:id="rId4"/>
    <sheet name="Tabelle1" sheetId="2" r:id="rId5"/>
    <sheet name="Dosierer 18-24" sheetId="6" r:id="rId6"/>
    <sheet name="Line 18-24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6" l="1"/>
  <c r="D18" i="7"/>
  <c r="H18" i="7" s="1"/>
  <c r="B18" i="7"/>
  <c r="F18" i="7" s="1"/>
  <c r="D17" i="7"/>
  <c r="H17" i="7" s="1"/>
  <c r="B17" i="7"/>
  <c r="F17" i="7" s="1"/>
  <c r="D16" i="7"/>
  <c r="H16" i="7" s="1"/>
  <c r="B16" i="7"/>
  <c r="F16" i="7" s="1"/>
  <c r="D15" i="7"/>
  <c r="H15" i="7" s="1"/>
  <c r="B15" i="7"/>
  <c r="F15" i="7" s="1"/>
  <c r="D14" i="7"/>
  <c r="H14" i="7" s="1"/>
  <c r="B14" i="7"/>
  <c r="F14" i="7" s="1"/>
  <c r="D13" i="7"/>
  <c r="H13" i="7" s="1"/>
  <c r="B13" i="7"/>
  <c r="F13" i="7" s="1"/>
  <c r="D12" i="7"/>
  <c r="H12" i="7" s="1"/>
  <c r="B12" i="7"/>
  <c r="F12" i="7" s="1"/>
  <c r="E3" i="6"/>
  <c r="B12" i="6" s="1"/>
  <c r="F12" i="6" s="1"/>
  <c r="D3" i="6"/>
  <c r="D12" i="6" s="1"/>
  <c r="H12" i="6" s="1"/>
  <c r="B13" i="6" l="1"/>
  <c r="F13" i="6" s="1"/>
  <c r="B11" i="6"/>
  <c r="F11" i="6" s="1"/>
  <c r="D11" i="6"/>
  <c r="H11" i="6" s="1"/>
  <c r="D13" i="6"/>
  <c r="H13" i="6" s="1"/>
  <c r="B10" i="6"/>
  <c r="F10" i="6" s="1"/>
  <c r="D10" i="6"/>
  <c r="H10" i="6" s="1"/>
  <c r="F18" i="5"/>
  <c r="D18" i="5"/>
  <c r="H18" i="5" s="1"/>
  <c r="B18" i="5"/>
  <c r="D17" i="5"/>
  <c r="H17" i="5" s="1"/>
  <c r="B17" i="5"/>
  <c r="F17" i="5" s="1"/>
  <c r="F16" i="5"/>
  <c r="D16" i="5"/>
  <c r="H16" i="5" s="1"/>
  <c r="B16" i="5"/>
  <c r="D15" i="5"/>
  <c r="H15" i="5" s="1"/>
  <c r="B15" i="5"/>
  <c r="F15" i="5" s="1"/>
  <c r="F14" i="5"/>
  <c r="D14" i="5"/>
  <c r="H14" i="5" s="1"/>
  <c r="B14" i="5"/>
  <c r="D13" i="5"/>
  <c r="H13" i="5" s="1"/>
  <c r="B13" i="5"/>
  <c r="F13" i="5" s="1"/>
  <c r="H12" i="5"/>
  <c r="F12" i="5"/>
  <c r="D12" i="5"/>
  <c r="B12" i="5"/>
  <c r="D3" i="1"/>
  <c r="D13" i="1" s="1"/>
  <c r="E3" i="1"/>
  <c r="B13" i="1" s="1"/>
  <c r="B12" i="4"/>
  <c r="B11" i="1" l="1"/>
  <c r="B12" i="1"/>
  <c r="B10" i="1"/>
  <c r="D12" i="1"/>
  <c r="D10" i="1"/>
  <c r="D11" i="1"/>
  <c r="D18" i="4"/>
  <c r="H18" i="4" s="1"/>
  <c r="B18" i="4"/>
  <c r="F18" i="4" s="1"/>
  <c r="D17" i="4"/>
  <c r="H17" i="4" s="1"/>
  <c r="B17" i="4"/>
  <c r="F17" i="4" s="1"/>
  <c r="D16" i="4"/>
  <c r="H16" i="4" s="1"/>
  <c r="B16" i="4"/>
  <c r="F16" i="4" s="1"/>
  <c r="D15" i="4"/>
  <c r="H15" i="4" s="1"/>
  <c r="B15" i="4"/>
  <c r="F15" i="4" s="1"/>
  <c r="D14" i="4"/>
  <c r="H14" i="4" s="1"/>
  <c r="B14" i="4"/>
  <c r="F14" i="4" s="1"/>
  <c r="D13" i="4"/>
  <c r="H13" i="4" s="1"/>
  <c r="B13" i="4"/>
  <c r="F13" i="4" s="1"/>
  <c r="D12" i="4"/>
  <c r="H12" i="4" s="1"/>
  <c r="F12" i="4"/>
  <c r="D18" i="3"/>
  <c r="H18" i="3" s="1"/>
  <c r="D17" i="3"/>
  <c r="H17" i="3" s="1"/>
  <c r="D16" i="3"/>
  <c r="H16" i="3" s="1"/>
  <c r="D15" i="3"/>
  <c r="H15" i="3" s="1"/>
  <c r="D14" i="3"/>
  <c r="H14" i="3" s="1"/>
  <c r="D13" i="3"/>
  <c r="H13" i="3" s="1"/>
  <c r="D12" i="3"/>
  <c r="H12" i="3" s="1"/>
  <c r="B18" i="3"/>
  <c r="F18" i="3" s="1"/>
  <c r="B17" i="3"/>
  <c r="F17" i="3" s="1"/>
  <c r="B16" i="3"/>
  <c r="F16" i="3" s="1"/>
  <c r="B15" i="3"/>
  <c r="F15" i="3" s="1"/>
  <c r="B14" i="3"/>
  <c r="F14" i="3" s="1"/>
  <c r="B13" i="3"/>
  <c r="F13" i="3" s="1"/>
  <c r="B12" i="3"/>
  <c r="F12" i="3" s="1"/>
  <c r="H13" i="1" l="1"/>
  <c r="H12" i="1"/>
  <c r="H11" i="1"/>
  <c r="F13" i="1"/>
  <c r="F12" i="1"/>
  <c r="F11" i="1"/>
  <c r="F10" i="1" l="1"/>
  <c r="H10" i="1"/>
</calcChain>
</file>

<file path=xl/sharedStrings.xml><?xml version="1.0" encoding="utf-8"?>
<sst xmlns="http://schemas.openxmlformats.org/spreadsheetml/2006/main" count="277" uniqueCount="32">
  <si>
    <t>DR W</t>
  </si>
  <si>
    <t>DR H</t>
  </si>
  <si>
    <t>DR L</t>
  </si>
  <si>
    <t>DR T</t>
  </si>
  <si>
    <t>X</t>
  </si>
  <si>
    <t>Y</t>
  </si>
  <si>
    <t>N</t>
  </si>
  <si>
    <t>Space W</t>
  </si>
  <si>
    <t>Space H</t>
  </si>
  <si>
    <t>{</t>
  </si>
  <si>
    <t>}</t>
  </si>
  <si>
    <t>},</t>
  </si>
  <si>
    <t>,</t>
  </si>
  <si>
    <t>MC</t>
  </si>
  <si>
    <t>PG</t>
  </si>
  <si>
    <t>BG</t>
  </si>
  <si>
    <t>AM</t>
  </si>
  <si>
    <t>SF2</t>
  </si>
  <si>
    <t>SF1</t>
  </si>
  <si>
    <t>MF</t>
  </si>
  <si>
    <t>OX</t>
  </si>
  <si>
    <t>OY</t>
  </si>
  <si>
    <t>DR</t>
  </si>
  <si>
    <t>AS</t>
  </si>
  <si>
    <t>NS</t>
  </si>
  <si>
    <t>DB</t>
  </si>
  <si>
    <t>K</t>
  </si>
  <si>
    <t>XO</t>
  </si>
  <si>
    <t>YO</t>
  </si>
  <si>
    <t>/*</t>
  </si>
  <si>
    <t>*/</t>
  </si>
  <si>
    <t>Dosierer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</si>
</sst>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F100E-CF3D-41A2-B163-0F397BB95B6D}">
  <dimension ref="A2:Q13"/>
  <sheetViews>
    <sheetView tabSelected="1" workbookViewId="0">
      <selection activeCell="A10" sqref="A10:I13"/>
    </sheetView>
  </sheetViews>
  <sheetFormatPr baseColWidth="10" defaultRowHeight="15" x14ac:dyDescent="0.25"/>
  <cols>
    <col min="1" max="9" width="11.42578125" style="1"/>
    <col min="10" max="13" width="11.42578125" style="2"/>
    <col min="14" max="16384" width="11.42578125" style="1"/>
  </cols>
  <sheetData>
    <row r="2" spans="1:17" x14ac:dyDescent="0.25">
      <c r="A2" s="1" t="s">
        <v>4</v>
      </c>
      <c r="B2" s="1" t="s">
        <v>5</v>
      </c>
      <c r="D2" s="1" t="s">
        <v>28</v>
      </c>
      <c r="E2" s="1" t="s">
        <v>27</v>
      </c>
      <c r="G2" s="1" t="s">
        <v>26</v>
      </c>
      <c r="H2" s="1" t="s">
        <v>6</v>
      </c>
      <c r="J2" s="2" t="s">
        <v>2</v>
      </c>
      <c r="K2" s="2" t="s">
        <v>3</v>
      </c>
      <c r="L2" s="2" t="s">
        <v>0</v>
      </c>
      <c r="M2" s="2" t="s">
        <v>1</v>
      </c>
      <c r="O2" s="1" t="s">
        <v>7</v>
      </c>
      <c r="P2" s="1" t="s">
        <v>8</v>
      </c>
      <c r="Q2" s="1" t="s">
        <v>6</v>
      </c>
    </row>
    <row r="3" spans="1:17" x14ac:dyDescent="0.25">
      <c r="A3" s="1">
        <v>-200</v>
      </c>
      <c r="B3" s="1">
        <v>10</v>
      </c>
      <c r="D3" s="1">
        <f>INT((H3-1)/G3)</f>
        <v>0</v>
      </c>
      <c r="E3" s="1">
        <f>MOD(H3-1,G3)+1</f>
        <v>2</v>
      </c>
      <c r="G3" s="1">
        <v>8</v>
      </c>
      <c r="H3" s="3">
        <v>2</v>
      </c>
      <c r="I3" s="1" t="s">
        <v>22</v>
      </c>
      <c r="J3" s="2">
        <v>216</v>
      </c>
      <c r="K3" s="2">
        <v>15</v>
      </c>
      <c r="L3" s="2">
        <v>96</v>
      </c>
      <c r="M3" s="2">
        <v>113</v>
      </c>
      <c r="O3" s="1">
        <v>55</v>
      </c>
      <c r="P3" s="1">
        <v>50</v>
      </c>
      <c r="Q3" s="1">
        <v>1</v>
      </c>
    </row>
    <row r="4" spans="1:17" x14ac:dyDescent="0.25">
      <c r="I4" s="1" t="s">
        <v>23</v>
      </c>
      <c r="J4" s="2">
        <v>302</v>
      </c>
      <c r="K4" s="2">
        <v>104</v>
      </c>
      <c r="L4" s="2">
        <v>50</v>
      </c>
      <c r="M4" s="2">
        <v>70</v>
      </c>
    </row>
    <row r="5" spans="1:17" x14ac:dyDescent="0.25">
      <c r="I5" s="1" t="s">
        <v>24</v>
      </c>
      <c r="J5" s="2">
        <v>210</v>
      </c>
      <c r="K5" s="2">
        <v>124</v>
      </c>
      <c r="L5" s="2">
        <v>50</v>
      </c>
      <c r="M5" s="2">
        <v>42</v>
      </c>
    </row>
    <row r="6" spans="1:17" x14ac:dyDescent="0.25">
      <c r="I6" s="1" t="s">
        <v>25</v>
      </c>
      <c r="J6" s="2">
        <v>260</v>
      </c>
      <c r="K6" s="2">
        <v>124</v>
      </c>
      <c r="L6" s="2">
        <v>40</v>
      </c>
      <c r="M6" s="2">
        <v>40</v>
      </c>
    </row>
    <row r="10" spans="1:17" x14ac:dyDescent="0.25">
      <c r="A10" s="1" t="s">
        <v>9</v>
      </c>
      <c r="B10" s="1">
        <f xml:space="preserve"> A3+J3+(E3-1)*(L3+O3)</f>
        <v>167</v>
      </c>
      <c r="C10" s="1" t="s">
        <v>12</v>
      </c>
      <c r="D10" s="1">
        <f xml:space="preserve"> B3+K3+D3*(M3+P3)</f>
        <v>25</v>
      </c>
      <c r="E10" s="1" t="s">
        <v>12</v>
      </c>
      <c r="F10" s="1">
        <f xml:space="preserve"> B10 + L3</f>
        <v>263</v>
      </c>
      <c r="G10" s="1" t="s">
        <v>12</v>
      </c>
      <c r="H10" s="1">
        <f xml:space="preserve"> D10+M3</f>
        <v>138</v>
      </c>
      <c r="I10" s="1" t="s">
        <v>11</v>
      </c>
    </row>
    <row r="11" spans="1:17" x14ac:dyDescent="0.25">
      <c r="A11" s="1" t="s">
        <v>9</v>
      </c>
      <c r="B11" s="1">
        <f xml:space="preserve"> A3+J4+(E3-1)*(L3+O3)</f>
        <v>253</v>
      </c>
      <c r="C11" s="1" t="s">
        <v>12</v>
      </c>
      <c r="D11" s="1">
        <f xml:space="preserve"> B3+K4+D3*(M3+P3)</f>
        <v>114</v>
      </c>
      <c r="E11" s="1" t="s">
        <v>12</v>
      </c>
      <c r="F11" s="1">
        <f xml:space="preserve"> B11+L4</f>
        <v>303</v>
      </c>
      <c r="G11" s="1" t="s">
        <v>12</v>
      </c>
      <c r="H11" s="1">
        <f xml:space="preserve"> D11+M4</f>
        <v>184</v>
      </c>
      <c r="I11" s="1" t="s">
        <v>11</v>
      </c>
    </row>
    <row r="12" spans="1:17" x14ac:dyDescent="0.25">
      <c r="A12" s="1" t="s">
        <v>9</v>
      </c>
      <c r="B12" s="1">
        <f xml:space="preserve"> A3+J5+(E3-1)*(L3+O3)</f>
        <v>161</v>
      </c>
      <c r="C12" s="1" t="s">
        <v>12</v>
      </c>
      <c r="D12" s="1">
        <f xml:space="preserve"> B3+K5+D3*(M3+P3)</f>
        <v>134</v>
      </c>
      <c r="E12" s="1" t="s">
        <v>12</v>
      </c>
      <c r="F12" s="1">
        <f xml:space="preserve"> B12+L5</f>
        <v>211</v>
      </c>
      <c r="G12" s="1" t="s">
        <v>12</v>
      </c>
      <c r="H12" s="1">
        <f xml:space="preserve"> D12+M5</f>
        <v>176</v>
      </c>
      <c r="I12" s="1" t="s">
        <v>11</v>
      </c>
    </row>
    <row r="13" spans="1:17" x14ac:dyDescent="0.25">
      <c r="A13" s="1" t="s">
        <v>9</v>
      </c>
      <c r="B13" s="1">
        <f xml:space="preserve"> A3+J6+(E3-1)*(L3+O3)</f>
        <v>211</v>
      </c>
      <c r="C13" s="1" t="s">
        <v>12</v>
      </c>
      <c r="D13" s="1">
        <f xml:space="preserve"> B3+K6+D3*(M3+P3)</f>
        <v>134</v>
      </c>
      <c r="E13" s="1" t="s">
        <v>12</v>
      </c>
      <c r="F13" s="1">
        <f xml:space="preserve"> B13+L6</f>
        <v>251</v>
      </c>
      <c r="G13" s="1" t="s">
        <v>12</v>
      </c>
      <c r="H13" s="1">
        <f xml:space="preserve"> D13+M6</f>
        <v>174</v>
      </c>
      <c r="I13" s="1" t="s">
        <v>10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FB7C2-33DE-40A6-B49F-4232F763E811}">
  <dimension ref="A2:O18"/>
  <sheetViews>
    <sheetView workbookViewId="0">
      <selection activeCell="A12" sqref="A12:I18"/>
    </sheetView>
  </sheetViews>
  <sheetFormatPr baseColWidth="10" defaultRowHeight="15" x14ac:dyDescent="0.25"/>
  <cols>
    <col min="1" max="9" width="11.42578125" style="1"/>
    <col min="10" max="13" width="11.42578125" style="2"/>
    <col min="14" max="16384" width="11.42578125" style="1"/>
  </cols>
  <sheetData>
    <row r="2" spans="1:15" x14ac:dyDescent="0.25">
      <c r="A2" s="1" t="s">
        <v>4</v>
      </c>
      <c r="B2" s="1" t="s">
        <v>5</v>
      </c>
      <c r="J2" s="2" t="s">
        <v>2</v>
      </c>
      <c r="K2" s="2" t="s">
        <v>3</v>
      </c>
      <c r="L2" s="2" t="s">
        <v>0</v>
      </c>
      <c r="M2" s="2" t="s">
        <v>1</v>
      </c>
      <c r="N2" s="1" t="s">
        <v>20</v>
      </c>
      <c r="O2" s="1" t="s">
        <v>21</v>
      </c>
    </row>
    <row r="3" spans="1:15" x14ac:dyDescent="0.25">
      <c r="A3" s="1">
        <v>220</v>
      </c>
      <c r="B3" s="1">
        <v>240</v>
      </c>
      <c r="I3" s="1" t="s">
        <v>13</v>
      </c>
      <c r="J3" s="2">
        <v>250</v>
      </c>
      <c r="K3" s="2">
        <v>270</v>
      </c>
      <c r="L3" s="2">
        <v>370</v>
      </c>
      <c r="M3" s="2">
        <v>300</v>
      </c>
      <c r="N3" s="1">
        <v>0</v>
      </c>
      <c r="O3" s="1">
        <v>0</v>
      </c>
    </row>
    <row r="4" spans="1:15" x14ac:dyDescent="0.25">
      <c r="I4" s="1" t="s">
        <v>14</v>
      </c>
      <c r="J4" s="2">
        <v>460</v>
      </c>
      <c r="K4" s="2">
        <v>270</v>
      </c>
      <c r="L4" s="2">
        <v>160</v>
      </c>
      <c r="M4" s="2">
        <v>40</v>
      </c>
      <c r="N4" s="1">
        <v>0</v>
      </c>
      <c r="O4" s="1">
        <v>0</v>
      </c>
    </row>
    <row r="5" spans="1:15" x14ac:dyDescent="0.25">
      <c r="I5" s="1" t="s">
        <v>15</v>
      </c>
      <c r="J5" s="2">
        <v>480</v>
      </c>
      <c r="K5" s="2">
        <v>20</v>
      </c>
      <c r="L5" s="2">
        <v>140</v>
      </c>
      <c r="M5" s="2">
        <v>260</v>
      </c>
      <c r="N5" s="1">
        <v>0</v>
      </c>
      <c r="O5" s="1">
        <v>0</v>
      </c>
    </row>
    <row r="6" spans="1:15" x14ac:dyDescent="0.25">
      <c r="I6" s="1" t="s">
        <v>16</v>
      </c>
      <c r="J6" s="2">
        <v>17</v>
      </c>
      <c r="K6" s="2">
        <v>400</v>
      </c>
      <c r="L6" s="2">
        <v>730</v>
      </c>
      <c r="M6" s="2">
        <v>20</v>
      </c>
      <c r="N6" s="1">
        <v>0</v>
      </c>
      <c r="O6" s="1">
        <v>0</v>
      </c>
    </row>
    <row r="7" spans="1:15" x14ac:dyDescent="0.25">
      <c r="I7" s="1" t="s">
        <v>17</v>
      </c>
      <c r="J7" s="2">
        <v>200</v>
      </c>
      <c r="K7" s="2">
        <v>285</v>
      </c>
      <c r="L7" s="2">
        <v>80</v>
      </c>
      <c r="M7" s="2">
        <v>110</v>
      </c>
      <c r="N7" s="1">
        <v>-60</v>
      </c>
      <c r="O7" s="1">
        <v>-200</v>
      </c>
    </row>
    <row r="8" spans="1:15" x14ac:dyDescent="0.25">
      <c r="I8" s="1" t="s">
        <v>18</v>
      </c>
      <c r="J8" s="2">
        <v>280</v>
      </c>
      <c r="K8" s="2">
        <v>285</v>
      </c>
      <c r="L8" s="2">
        <v>80</v>
      </c>
      <c r="M8" s="2">
        <v>110</v>
      </c>
      <c r="N8" s="1">
        <v>-60</v>
      </c>
      <c r="O8" s="1">
        <v>-200</v>
      </c>
    </row>
    <row r="9" spans="1:15" x14ac:dyDescent="0.25">
      <c r="I9" s="1" t="s">
        <v>19</v>
      </c>
      <c r="J9" s="2">
        <v>360</v>
      </c>
      <c r="K9" s="2">
        <v>285</v>
      </c>
      <c r="L9" s="2">
        <v>80</v>
      </c>
      <c r="M9" s="2">
        <v>110</v>
      </c>
      <c r="N9" s="1">
        <v>-60</v>
      </c>
      <c r="O9" s="1">
        <v>-200</v>
      </c>
    </row>
    <row r="12" spans="1:15" x14ac:dyDescent="0.25">
      <c r="A12" s="1" t="s">
        <v>9</v>
      </c>
      <c r="B12" s="1">
        <f xml:space="preserve"> A3+J3+N3</f>
        <v>470</v>
      </c>
      <c r="C12" s="1" t="s">
        <v>12</v>
      </c>
      <c r="D12" s="1">
        <f xml:space="preserve"> B3+K3+O3</f>
        <v>510</v>
      </c>
      <c r="E12" s="1" t="s">
        <v>12</v>
      </c>
      <c r="F12" s="1">
        <f t="shared" ref="F12:F18" si="0" xml:space="preserve"> B12+L3</f>
        <v>840</v>
      </c>
      <c r="G12" s="1" t="s">
        <v>12</v>
      </c>
      <c r="H12" s="1">
        <f xml:space="preserve"> D12+M3</f>
        <v>810</v>
      </c>
      <c r="I12" s="1" t="s">
        <v>11</v>
      </c>
    </row>
    <row r="13" spans="1:15" x14ac:dyDescent="0.25">
      <c r="A13" s="1" t="s">
        <v>9</v>
      </c>
      <c r="B13" s="1">
        <f xml:space="preserve"> A3+J4+N4</f>
        <v>680</v>
      </c>
      <c r="C13" s="1" t="s">
        <v>12</v>
      </c>
      <c r="D13" s="1">
        <f xml:space="preserve"> B3+K4+O4</f>
        <v>510</v>
      </c>
      <c r="E13" s="1" t="s">
        <v>12</v>
      </c>
      <c r="F13" s="1">
        <f t="shared" si="0"/>
        <v>840</v>
      </c>
      <c r="G13" s="1" t="s">
        <v>12</v>
      </c>
      <c r="H13" s="1">
        <f xml:space="preserve"> D13+M4</f>
        <v>550</v>
      </c>
      <c r="I13" s="1" t="s">
        <v>11</v>
      </c>
    </row>
    <row r="14" spans="1:15" x14ac:dyDescent="0.25">
      <c r="A14" s="1" t="s">
        <v>9</v>
      </c>
      <c r="B14" s="1">
        <f xml:space="preserve"> A3+J5+N5</f>
        <v>700</v>
      </c>
      <c r="C14" s="1" t="s">
        <v>12</v>
      </c>
      <c r="D14" s="1">
        <f xml:space="preserve"> B3+K5+O5</f>
        <v>260</v>
      </c>
      <c r="E14" s="1" t="s">
        <v>12</v>
      </c>
      <c r="F14" s="1">
        <f t="shared" si="0"/>
        <v>840</v>
      </c>
      <c r="G14" s="1" t="s">
        <v>12</v>
      </c>
      <c r="H14" s="1">
        <f xml:space="preserve"> D14+M5</f>
        <v>520</v>
      </c>
      <c r="I14" s="1" t="s">
        <v>11</v>
      </c>
    </row>
    <row r="15" spans="1:15" x14ac:dyDescent="0.25">
      <c r="A15" s="1" t="s">
        <v>9</v>
      </c>
      <c r="B15" s="1">
        <f xml:space="preserve"> A3+J6+N6</f>
        <v>237</v>
      </c>
      <c r="C15" s="1" t="s">
        <v>12</v>
      </c>
      <c r="D15" s="1">
        <f xml:space="preserve"> B3+K6+O6</f>
        <v>640</v>
      </c>
      <c r="E15" s="1" t="s">
        <v>12</v>
      </c>
      <c r="F15" s="1">
        <f t="shared" si="0"/>
        <v>967</v>
      </c>
      <c r="G15" s="1" t="s">
        <v>12</v>
      </c>
      <c r="H15" s="1">
        <f>D15+M6</f>
        <v>660</v>
      </c>
      <c r="I15" s="1" t="s">
        <v>11</v>
      </c>
    </row>
    <row r="16" spans="1:15" x14ac:dyDescent="0.25">
      <c r="A16" s="1" t="s">
        <v>9</v>
      </c>
      <c r="B16" s="1">
        <f xml:space="preserve"> A3+J7+N7</f>
        <v>360</v>
      </c>
      <c r="C16" s="1" t="s">
        <v>12</v>
      </c>
      <c r="D16" s="1">
        <f xml:space="preserve"> B3+K7+O7</f>
        <v>325</v>
      </c>
      <c r="E16" s="1" t="s">
        <v>12</v>
      </c>
      <c r="F16" s="1">
        <f t="shared" si="0"/>
        <v>440</v>
      </c>
      <c r="G16" s="1" t="s">
        <v>12</v>
      </c>
      <c r="H16" s="1">
        <f>D16+M7</f>
        <v>435</v>
      </c>
      <c r="I16" s="1" t="s">
        <v>11</v>
      </c>
    </row>
    <row r="17" spans="1:9" x14ac:dyDescent="0.25">
      <c r="A17" s="1" t="s">
        <v>9</v>
      </c>
      <c r="B17" s="1">
        <f xml:space="preserve"> A3+J8+N8</f>
        <v>440</v>
      </c>
      <c r="C17" s="1" t="s">
        <v>12</v>
      </c>
      <c r="D17" s="1">
        <f xml:space="preserve"> B3+K8+O8</f>
        <v>325</v>
      </c>
      <c r="E17" s="1" t="s">
        <v>12</v>
      </c>
      <c r="F17" s="1">
        <f t="shared" si="0"/>
        <v>520</v>
      </c>
      <c r="G17" s="1" t="s">
        <v>12</v>
      </c>
      <c r="H17" s="1">
        <f>D17+M8</f>
        <v>435</v>
      </c>
      <c r="I17" s="1" t="s">
        <v>11</v>
      </c>
    </row>
    <row r="18" spans="1:9" x14ac:dyDescent="0.25">
      <c r="A18" s="1" t="s">
        <v>9</v>
      </c>
      <c r="B18" s="1">
        <f xml:space="preserve"> A3+J9+N9</f>
        <v>520</v>
      </c>
      <c r="C18" s="1" t="s">
        <v>12</v>
      </c>
      <c r="D18" s="1">
        <f xml:space="preserve"> B3+K9+O9</f>
        <v>325</v>
      </c>
      <c r="E18" s="1" t="s">
        <v>12</v>
      </c>
      <c r="F18" s="1">
        <f t="shared" si="0"/>
        <v>600</v>
      </c>
      <c r="G18" s="1" t="s">
        <v>12</v>
      </c>
      <c r="H18" s="1">
        <f>D18+M9</f>
        <v>435</v>
      </c>
      <c r="I18" s="1" t="s">
        <v>10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B92BE-28AD-4B68-A5A3-03BDCD05593F}">
  <dimension ref="A2:O18"/>
  <sheetViews>
    <sheetView workbookViewId="0">
      <selection activeCell="D30" sqref="D30"/>
    </sheetView>
  </sheetViews>
  <sheetFormatPr baseColWidth="10" defaultRowHeight="15" x14ac:dyDescent="0.25"/>
  <cols>
    <col min="1" max="9" width="11.42578125" style="1"/>
    <col min="10" max="13" width="11.42578125" style="2"/>
    <col min="14" max="16384" width="11.42578125" style="1"/>
  </cols>
  <sheetData>
    <row r="2" spans="1:15" x14ac:dyDescent="0.25">
      <c r="A2" s="1" t="s">
        <v>4</v>
      </c>
      <c r="B2" s="1" t="s">
        <v>5</v>
      </c>
      <c r="J2" s="2" t="s">
        <v>2</v>
      </c>
      <c r="K2" s="2" t="s">
        <v>3</v>
      </c>
      <c r="L2" s="2" t="s">
        <v>0</v>
      </c>
      <c r="M2" s="2" t="s">
        <v>1</v>
      </c>
      <c r="N2" s="1" t="s">
        <v>20</v>
      </c>
      <c r="O2" s="1" t="s">
        <v>21</v>
      </c>
    </row>
    <row r="3" spans="1:15" x14ac:dyDescent="0.25">
      <c r="A3" s="1">
        <v>220</v>
      </c>
      <c r="B3" s="1">
        <v>240</v>
      </c>
      <c r="I3" s="1" t="s">
        <v>13</v>
      </c>
      <c r="J3" s="2">
        <v>250</v>
      </c>
      <c r="K3" s="2">
        <v>270</v>
      </c>
      <c r="L3" s="2">
        <v>370</v>
      </c>
      <c r="M3" s="2">
        <v>300</v>
      </c>
      <c r="N3" s="1">
        <v>0</v>
      </c>
      <c r="O3" s="1">
        <v>0</v>
      </c>
    </row>
    <row r="4" spans="1:15" x14ac:dyDescent="0.25">
      <c r="I4" s="1" t="s">
        <v>14</v>
      </c>
      <c r="J4" s="2">
        <v>460</v>
      </c>
      <c r="K4" s="2">
        <v>330</v>
      </c>
      <c r="L4" s="2">
        <v>160</v>
      </c>
      <c r="M4" s="2">
        <v>40</v>
      </c>
      <c r="N4" s="1">
        <v>100</v>
      </c>
      <c r="O4" s="1">
        <v>40</v>
      </c>
    </row>
    <row r="5" spans="1:15" x14ac:dyDescent="0.25">
      <c r="I5" s="1" t="s">
        <v>15</v>
      </c>
      <c r="J5" s="2">
        <v>480</v>
      </c>
      <c r="K5" s="2">
        <v>20</v>
      </c>
      <c r="L5" s="2">
        <v>140</v>
      </c>
      <c r="M5" s="2">
        <v>320</v>
      </c>
      <c r="N5" s="1">
        <v>100</v>
      </c>
      <c r="O5" s="1">
        <v>40</v>
      </c>
    </row>
    <row r="6" spans="1:15" x14ac:dyDescent="0.25">
      <c r="I6" s="1" t="s">
        <v>16</v>
      </c>
      <c r="J6" s="2">
        <v>-160</v>
      </c>
      <c r="K6" s="2">
        <v>460</v>
      </c>
      <c r="L6" s="2">
        <v>898</v>
      </c>
      <c r="M6" s="2">
        <v>20</v>
      </c>
      <c r="N6" s="1">
        <v>0</v>
      </c>
      <c r="O6" s="1">
        <v>0</v>
      </c>
    </row>
    <row r="7" spans="1:15" x14ac:dyDescent="0.25">
      <c r="I7" s="1" t="s">
        <v>17</v>
      </c>
      <c r="J7" s="2">
        <v>200</v>
      </c>
      <c r="K7" s="2">
        <v>285</v>
      </c>
      <c r="L7" s="2">
        <v>80</v>
      </c>
      <c r="M7" s="2">
        <v>110</v>
      </c>
      <c r="N7" s="1">
        <v>-60</v>
      </c>
      <c r="O7" s="1">
        <v>-200</v>
      </c>
    </row>
    <row r="8" spans="1:15" x14ac:dyDescent="0.25">
      <c r="I8" s="1" t="s">
        <v>18</v>
      </c>
      <c r="J8" s="2">
        <v>280</v>
      </c>
      <c r="K8" s="2">
        <v>285</v>
      </c>
      <c r="L8" s="2">
        <v>80</v>
      </c>
      <c r="M8" s="2">
        <v>110</v>
      </c>
      <c r="N8" s="1">
        <v>-60</v>
      </c>
      <c r="O8" s="1">
        <v>-200</v>
      </c>
    </row>
    <row r="9" spans="1:15" x14ac:dyDescent="0.25">
      <c r="I9" s="1" t="s">
        <v>19</v>
      </c>
      <c r="J9" s="2">
        <v>360</v>
      </c>
      <c r="K9" s="2">
        <v>285</v>
      </c>
      <c r="L9" s="2">
        <v>80</v>
      </c>
      <c r="M9" s="2">
        <v>110</v>
      </c>
      <c r="N9" s="1">
        <v>-60</v>
      </c>
      <c r="O9" s="1">
        <v>-200</v>
      </c>
    </row>
    <row r="12" spans="1:15" x14ac:dyDescent="0.25">
      <c r="A12" s="1" t="s">
        <v>9</v>
      </c>
      <c r="B12" s="1">
        <f xml:space="preserve"> A3+J3+N3</f>
        <v>470</v>
      </c>
      <c r="C12" s="1" t="s">
        <v>12</v>
      </c>
      <c r="D12" s="1">
        <f xml:space="preserve"> B3+K3+O3</f>
        <v>510</v>
      </c>
      <c r="E12" s="1" t="s">
        <v>12</v>
      </c>
      <c r="F12" s="1">
        <f t="shared" ref="F12:F18" si="0" xml:space="preserve"> B12+L3</f>
        <v>840</v>
      </c>
      <c r="G12" s="1" t="s">
        <v>12</v>
      </c>
      <c r="H12" s="1">
        <f xml:space="preserve"> D12+M3</f>
        <v>810</v>
      </c>
      <c r="I12" s="1" t="s">
        <v>11</v>
      </c>
    </row>
    <row r="13" spans="1:15" x14ac:dyDescent="0.25">
      <c r="A13" s="1" t="s">
        <v>9</v>
      </c>
      <c r="B13" s="1">
        <f xml:space="preserve"> A3+J4+N4</f>
        <v>780</v>
      </c>
      <c r="C13" s="1" t="s">
        <v>12</v>
      </c>
      <c r="D13" s="1">
        <f xml:space="preserve"> B3+K4+O4</f>
        <v>610</v>
      </c>
      <c r="E13" s="1" t="s">
        <v>12</v>
      </c>
      <c r="F13" s="1">
        <f t="shared" si="0"/>
        <v>940</v>
      </c>
      <c r="G13" s="1" t="s">
        <v>12</v>
      </c>
      <c r="H13" s="1">
        <f xml:space="preserve"> D13+M4</f>
        <v>650</v>
      </c>
      <c r="I13" s="1" t="s">
        <v>11</v>
      </c>
    </row>
    <row r="14" spans="1:15" x14ac:dyDescent="0.25">
      <c r="A14" s="1" t="s">
        <v>9</v>
      </c>
      <c r="B14" s="1">
        <f xml:space="preserve"> A3+J5+N5</f>
        <v>800</v>
      </c>
      <c r="C14" s="1" t="s">
        <v>12</v>
      </c>
      <c r="D14" s="1">
        <f xml:space="preserve"> B3+K5+O5</f>
        <v>300</v>
      </c>
      <c r="E14" s="1" t="s">
        <v>12</v>
      </c>
      <c r="F14" s="1">
        <f t="shared" si="0"/>
        <v>940</v>
      </c>
      <c r="G14" s="1" t="s">
        <v>12</v>
      </c>
      <c r="H14" s="1">
        <f xml:space="preserve"> D14+M5</f>
        <v>620</v>
      </c>
      <c r="I14" s="1" t="s">
        <v>11</v>
      </c>
    </row>
    <row r="15" spans="1:15" x14ac:dyDescent="0.25">
      <c r="A15" s="1" t="s">
        <v>9</v>
      </c>
      <c r="B15" s="1">
        <f xml:space="preserve"> A3+J6+N6</f>
        <v>60</v>
      </c>
      <c r="C15" s="1" t="s">
        <v>12</v>
      </c>
      <c r="D15" s="1">
        <f xml:space="preserve"> B3+K6+O6</f>
        <v>700</v>
      </c>
      <c r="E15" s="1" t="s">
        <v>12</v>
      </c>
      <c r="F15" s="1">
        <f t="shared" si="0"/>
        <v>958</v>
      </c>
      <c r="G15" s="1" t="s">
        <v>12</v>
      </c>
      <c r="H15" s="1">
        <f>D15+M6</f>
        <v>720</v>
      </c>
      <c r="I15" s="1" t="s">
        <v>11</v>
      </c>
    </row>
    <row r="16" spans="1:15" x14ac:dyDescent="0.25">
      <c r="A16" s="1" t="s">
        <v>9</v>
      </c>
      <c r="B16" s="1">
        <f xml:space="preserve"> A3+J7+N7</f>
        <v>360</v>
      </c>
      <c r="C16" s="1" t="s">
        <v>12</v>
      </c>
      <c r="D16" s="1">
        <f xml:space="preserve"> B3+K7+O7</f>
        <v>325</v>
      </c>
      <c r="E16" s="1" t="s">
        <v>12</v>
      </c>
      <c r="F16" s="1">
        <f t="shared" si="0"/>
        <v>440</v>
      </c>
      <c r="G16" s="1" t="s">
        <v>12</v>
      </c>
      <c r="H16" s="1">
        <f>D16+M7</f>
        <v>435</v>
      </c>
      <c r="I16" s="1" t="s">
        <v>11</v>
      </c>
    </row>
    <row r="17" spans="1:9" x14ac:dyDescent="0.25">
      <c r="A17" s="1" t="s">
        <v>9</v>
      </c>
      <c r="B17" s="1">
        <f xml:space="preserve"> A3+J8+N8</f>
        <v>440</v>
      </c>
      <c r="C17" s="1" t="s">
        <v>12</v>
      </c>
      <c r="D17" s="1">
        <f xml:space="preserve"> B3+K8+O8</f>
        <v>325</v>
      </c>
      <c r="E17" s="1" t="s">
        <v>12</v>
      </c>
      <c r="F17" s="1">
        <f t="shared" si="0"/>
        <v>520</v>
      </c>
      <c r="G17" s="1" t="s">
        <v>12</v>
      </c>
      <c r="H17" s="1">
        <f>D17+M8</f>
        <v>435</v>
      </c>
      <c r="I17" s="1" t="s">
        <v>11</v>
      </c>
    </row>
    <row r="18" spans="1:9" x14ac:dyDescent="0.25">
      <c r="A18" s="1" t="s">
        <v>9</v>
      </c>
      <c r="B18" s="1">
        <f xml:space="preserve"> A3+J9+N9</f>
        <v>520</v>
      </c>
      <c r="C18" s="1" t="s">
        <v>12</v>
      </c>
      <c r="D18" s="1">
        <f xml:space="preserve"> B3+K9+O9</f>
        <v>325</v>
      </c>
      <c r="E18" s="1" t="s">
        <v>12</v>
      </c>
      <c r="F18" s="1">
        <f t="shared" si="0"/>
        <v>600</v>
      </c>
      <c r="G18" s="1" t="s">
        <v>12</v>
      </c>
      <c r="H18" s="1">
        <f>D18+M9</f>
        <v>435</v>
      </c>
      <c r="I18" s="1" t="s">
        <v>10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1A744-0142-4BCB-BCA5-2C95826436DE}">
  <dimension ref="A2:O18"/>
  <sheetViews>
    <sheetView workbookViewId="0">
      <selection activeCell="A12" sqref="A12:I18"/>
    </sheetView>
  </sheetViews>
  <sheetFormatPr baseColWidth="10" defaultRowHeight="15" x14ac:dyDescent="0.25"/>
  <cols>
    <col min="1" max="9" width="11.42578125" style="1"/>
    <col min="10" max="13" width="11.42578125" style="2"/>
    <col min="14" max="16384" width="11.42578125" style="1"/>
  </cols>
  <sheetData>
    <row r="2" spans="1:15" x14ac:dyDescent="0.25">
      <c r="A2" s="1" t="s">
        <v>4</v>
      </c>
      <c r="B2" s="1" t="s">
        <v>5</v>
      </c>
      <c r="J2" s="2" t="s">
        <v>2</v>
      </c>
      <c r="K2" s="2" t="s">
        <v>3</v>
      </c>
      <c r="L2" s="2" t="s">
        <v>0</v>
      </c>
      <c r="M2" s="2" t="s">
        <v>1</v>
      </c>
      <c r="N2" s="1" t="s">
        <v>20</v>
      </c>
      <c r="O2" s="1" t="s">
        <v>21</v>
      </c>
    </row>
    <row r="3" spans="1:15" x14ac:dyDescent="0.25">
      <c r="A3" s="1">
        <v>220</v>
      </c>
      <c r="B3" s="1">
        <v>240</v>
      </c>
      <c r="I3" s="1" t="s">
        <v>13</v>
      </c>
      <c r="J3" s="2">
        <v>250</v>
      </c>
      <c r="K3" s="2">
        <v>270</v>
      </c>
      <c r="L3" s="2">
        <v>370</v>
      </c>
      <c r="M3" s="2">
        <v>300</v>
      </c>
      <c r="N3" s="1">
        <v>0</v>
      </c>
      <c r="O3" s="1">
        <v>0</v>
      </c>
    </row>
    <row r="4" spans="1:15" x14ac:dyDescent="0.25">
      <c r="I4" s="1" t="s">
        <v>14</v>
      </c>
      <c r="J4" s="2">
        <v>460</v>
      </c>
      <c r="K4" s="2">
        <v>330</v>
      </c>
      <c r="L4" s="2">
        <v>160</v>
      </c>
      <c r="M4" s="2">
        <v>40</v>
      </c>
      <c r="N4" s="1">
        <v>100</v>
      </c>
      <c r="O4" s="1">
        <v>80</v>
      </c>
    </row>
    <row r="5" spans="1:15" x14ac:dyDescent="0.25">
      <c r="I5" s="1" t="s">
        <v>15</v>
      </c>
      <c r="J5" s="2">
        <v>480</v>
      </c>
      <c r="K5" s="2">
        <v>60</v>
      </c>
      <c r="L5" s="2">
        <v>140</v>
      </c>
      <c r="M5" s="2">
        <v>280</v>
      </c>
      <c r="N5" s="1">
        <v>100</v>
      </c>
      <c r="O5" s="1">
        <v>80</v>
      </c>
    </row>
    <row r="6" spans="1:15" x14ac:dyDescent="0.25">
      <c r="I6" s="1" t="s">
        <v>16</v>
      </c>
      <c r="J6" s="2">
        <v>-160</v>
      </c>
      <c r="K6" s="2">
        <v>460</v>
      </c>
      <c r="L6" s="2">
        <v>898</v>
      </c>
      <c r="M6" s="2">
        <v>20</v>
      </c>
      <c r="N6" s="1">
        <v>0</v>
      </c>
      <c r="O6" s="1">
        <v>0</v>
      </c>
    </row>
    <row r="7" spans="1:15" x14ac:dyDescent="0.25">
      <c r="I7" s="1" t="s">
        <v>17</v>
      </c>
      <c r="J7" s="2">
        <v>200</v>
      </c>
      <c r="K7" s="2">
        <v>485</v>
      </c>
      <c r="L7" s="2">
        <v>80</v>
      </c>
      <c r="M7" s="2">
        <v>110</v>
      </c>
      <c r="N7" s="1">
        <v>-60</v>
      </c>
      <c r="O7" s="1">
        <v>-160</v>
      </c>
    </row>
    <row r="8" spans="1:15" x14ac:dyDescent="0.25">
      <c r="I8" s="1" t="s">
        <v>18</v>
      </c>
      <c r="J8" s="2">
        <v>280</v>
      </c>
      <c r="K8" s="2">
        <v>485</v>
      </c>
      <c r="L8" s="2">
        <v>80</v>
      </c>
      <c r="M8" s="2">
        <v>110</v>
      </c>
      <c r="N8" s="1">
        <v>-60</v>
      </c>
      <c r="O8" s="1">
        <v>-160</v>
      </c>
    </row>
    <row r="9" spans="1:15" x14ac:dyDescent="0.25">
      <c r="I9" s="1" t="s">
        <v>19</v>
      </c>
      <c r="J9" s="2">
        <v>360</v>
      </c>
      <c r="K9" s="2">
        <v>485</v>
      </c>
      <c r="L9" s="2">
        <v>80</v>
      </c>
      <c r="M9" s="2">
        <v>110</v>
      </c>
      <c r="N9" s="1">
        <v>-60</v>
      </c>
      <c r="O9" s="1">
        <v>-160</v>
      </c>
    </row>
    <row r="12" spans="1:15" x14ac:dyDescent="0.25">
      <c r="A12" s="1" t="s">
        <v>9</v>
      </c>
      <c r="B12" s="1">
        <f xml:space="preserve"> A3+J3+N3</f>
        <v>470</v>
      </c>
      <c r="C12" s="1" t="s">
        <v>12</v>
      </c>
      <c r="D12" s="1">
        <f xml:space="preserve"> B3+K3+O3</f>
        <v>510</v>
      </c>
      <c r="E12" s="1" t="s">
        <v>12</v>
      </c>
      <c r="F12" s="1">
        <f t="shared" ref="F12:F18" si="0" xml:space="preserve"> B12+L3</f>
        <v>840</v>
      </c>
      <c r="G12" s="1" t="s">
        <v>12</v>
      </c>
      <c r="H12" s="1">
        <f xml:space="preserve"> D12+M3</f>
        <v>810</v>
      </c>
      <c r="I12" s="1" t="s">
        <v>11</v>
      </c>
    </row>
    <row r="13" spans="1:15" x14ac:dyDescent="0.25">
      <c r="A13" s="1" t="s">
        <v>9</v>
      </c>
      <c r="B13" s="1">
        <f xml:space="preserve"> A3+J4+N4</f>
        <v>780</v>
      </c>
      <c r="C13" s="1" t="s">
        <v>12</v>
      </c>
      <c r="D13" s="1">
        <f xml:space="preserve"> B3+K4+O4</f>
        <v>650</v>
      </c>
      <c r="E13" s="1" t="s">
        <v>12</v>
      </c>
      <c r="F13" s="1">
        <f t="shared" si="0"/>
        <v>940</v>
      </c>
      <c r="G13" s="1" t="s">
        <v>12</v>
      </c>
      <c r="H13" s="1">
        <f xml:space="preserve"> D13+M4</f>
        <v>690</v>
      </c>
      <c r="I13" s="1" t="s">
        <v>11</v>
      </c>
    </row>
    <row r="14" spans="1:15" x14ac:dyDescent="0.25">
      <c r="A14" s="1" t="s">
        <v>9</v>
      </c>
      <c r="B14" s="1">
        <f xml:space="preserve"> A3+J5+N5</f>
        <v>800</v>
      </c>
      <c r="C14" s="1" t="s">
        <v>12</v>
      </c>
      <c r="D14" s="1">
        <f xml:space="preserve"> B3+K5+O5</f>
        <v>380</v>
      </c>
      <c r="E14" s="1" t="s">
        <v>12</v>
      </c>
      <c r="F14" s="1">
        <f t="shared" si="0"/>
        <v>940</v>
      </c>
      <c r="G14" s="1" t="s">
        <v>12</v>
      </c>
      <c r="H14" s="1">
        <f xml:space="preserve"> D14+M5</f>
        <v>660</v>
      </c>
      <c r="I14" s="1" t="s">
        <v>11</v>
      </c>
    </row>
    <row r="15" spans="1:15" x14ac:dyDescent="0.25">
      <c r="A15" s="1" t="s">
        <v>9</v>
      </c>
      <c r="B15" s="1">
        <f xml:space="preserve"> A3+J6+N6</f>
        <v>60</v>
      </c>
      <c r="C15" s="1" t="s">
        <v>12</v>
      </c>
      <c r="D15" s="1">
        <f xml:space="preserve"> B3+K6+O6</f>
        <v>700</v>
      </c>
      <c r="E15" s="1" t="s">
        <v>12</v>
      </c>
      <c r="F15" s="1">
        <f t="shared" si="0"/>
        <v>958</v>
      </c>
      <c r="G15" s="1" t="s">
        <v>12</v>
      </c>
      <c r="H15" s="1">
        <f>D15+M6</f>
        <v>720</v>
      </c>
      <c r="I15" s="1" t="s">
        <v>11</v>
      </c>
    </row>
    <row r="16" spans="1:15" x14ac:dyDescent="0.25">
      <c r="A16" s="1" t="s">
        <v>9</v>
      </c>
      <c r="B16" s="1">
        <f xml:space="preserve"> A3+J7+N7</f>
        <v>360</v>
      </c>
      <c r="C16" s="1" t="s">
        <v>12</v>
      </c>
      <c r="D16" s="1">
        <f xml:space="preserve"> B3+K7+O7</f>
        <v>565</v>
      </c>
      <c r="E16" s="1" t="s">
        <v>12</v>
      </c>
      <c r="F16" s="1">
        <f t="shared" si="0"/>
        <v>440</v>
      </c>
      <c r="G16" s="1" t="s">
        <v>12</v>
      </c>
      <c r="H16" s="1">
        <f>D16+M7</f>
        <v>675</v>
      </c>
      <c r="I16" s="1" t="s">
        <v>11</v>
      </c>
    </row>
    <row r="17" spans="1:9" x14ac:dyDescent="0.25">
      <c r="A17" s="1" t="s">
        <v>9</v>
      </c>
      <c r="B17" s="1">
        <f xml:space="preserve"> A3+J8+N8</f>
        <v>440</v>
      </c>
      <c r="C17" s="1" t="s">
        <v>12</v>
      </c>
      <c r="D17" s="1">
        <f xml:space="preserve"> B3+K8+O8</f>
        <v>565</v>
      </c>
      <c r="E17" s="1" t="s">
        <v>12</v>
      </c>
      <c r="F17" s="1">
        <f t="shared" si="0"/>
        <v>520</v>
      </c>
      <c r="G17" s="1" t="s">
        <v>12</v>
      </c>
      <c r="H17" s="1">
        <f>D17+M8</f>
        <v>675</v>
      </c>
      <c r="I17" s="1" t="s">
        <v>11</v>
      </c>
    </row>
    <row r="18" spans="1:9" x14ac:dyDescent="0.25">
      <c r="A18" s="1" t="s">
        <v>9</v>
      </c>
      <c r="B18" s="1">
        <f xml:space="preserve"> A3+J9+N9</f>
        <v>520</v>
      </c>
      <c r="C18" s="1" t="s">
        <v>12</v>
      </c>
      <c r="D18" s="1">
        <f xml:space="preserve"> B3+K9+O9</f>
        <v>565</v>
      </c>
      <c r="E18" s="1" t="s">
        <v>12</v>
      </c>
      <c r="F18" s="1">
        <f t="shared" si="0"/>
        <v>600</v>
      </c>
      <c r="G18" s="1" t="s">
        <v>12</v>
      </c>
      <c r="H18" s="1">
        <f>D18+M9</f>
        <v>675</v>
      </c>
      <c r="I18" s="1" t="s">
        <v>10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037A4-6344-47AB-9DD7-C171BBFDFA18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13C64-73D8-40A2-8EA8-FD437460173C}">
  <dimension ref="A2:Q13"/>
  <sheetViews>
    <sheetView workbookViewId="0">
      <selection activeCell="A9" sqref="A9:I13"/>
    </sheetView>
  </sheetViews>
  <sheetFormatPr baseColWidth="10" defaultRowHeight="15" x14ac:dyDescent="0.25"/>
  <cols>
    <col min="1" max="9" width="11.42578125" style="1"/>
    <col min="10" max="13" width="11.42578125" style="2"/>
    <col min="14" max="16384" width="11.42578125" style="1"/>
  </cols>
  <sheetData>
    <row r="2" spans="1:17" x14ac:dyDescent="0.25">
      <c r="A2" s="1" t="s">
        <v>4</v>
      </c>
      <c r="B2" s="1" t="s">
        <v>5</v>
      </c>
      <c r="D2" s="1" t="s">
        <v>28</v>
      </c>
      <c r="E2" s="1" t="s">
        <v>27</v>
      </c>
      <c r="G2" s="1" t="s">
        <v>26</v>
      </c>
      <c r="H2" s="1" t="s">
        <v>6</v>
      </c>
      <c r="J2" s="2" t="s">
        <v>2</v>
      </c>
      <c r="K2" s="2" t="s">
        <v>3</v>
      </c>
      <c r="L2" s="2" t="s">
        <v>0</v>
      </c>
      <c r="M2" s="2" t="s">
        <v>1</v>
      </c>
      <c r="O2" s="1" t="s">
        <v>7</v>
      </c>
      <c r="P2" s="1" t="s">
        <v>8</v>
      </c>
      <c r="Q2" s="1" t="s">
        <v>6</v>
      </c>
    </row>
    <row r="3" spans="1:17" x14ac:dyDescent="0.25">
      <c r="A3" s="1">
        <v>-170</v>
      </c>
      <c r="B3" s="1">
        <v>20</v>
      </c>
      <c r="D3" s="1">
        <f>INT((H3-1)/G3)</f>
        <v>4</v>
      </c>
      <c r="E3" s="1">
        <f>MOD(H3-1,G3)+1</f>
        <v>4</v>
      </c>
      <c r="G3" s="1">
        <v>7</v>
      </c>
      <c r="H3" s="3">
        <v>32</v>
      </c>
      <c r="I3" s="1" t="s">
        <v>22</v>
      </c>
      <c r="J3" s="2">
        <v>216</v>
      </c>
      <c r="K3" s="2">
        <v>15</v>
      </c>
      <c r="L3" s="2">
        <v>96</v>
      </c>
      <c r="M3" s="2">
        <v>113</v>
      </c>
      <c r="O3" s="1">
        <v>60</v>
      </c>
      <c r="P3" s="1">
        <v>50</v>
      </c>
      <c r="Q3" s="1">
        <v>1</v>
      </c>
    </row>
    <row r="4" spans="1:17" x14ac:dyDescent="0.25">
      <c r="I4" s="1" t="s">
        <v>23</v>
      </c>
      <c r="J4" s="2">
        <v>302</v>
      </c>
      <c r="K4" s="2">
        <v>104</v>
      </c>
      <c r="L4" s="2">
        <v>50</v>
      </c>
      <c r="M4" s="2">
        <v>70</v>
      </c>
    </row>
    <row r="5" spans="1:17" x14ac:dyDescent="0.25">
      <c r="I5" s="1" t="s">
        <v>24</v>
      </c>
      <c r="J5" s="2">
        <v>210</v>
      </c>
      <c r="K5" s="2">
        <v>124</v>
      </c>
      <c r="L5" s="2">
        <v>50</v>
      </c>
      <c r="M5" s="2">
        <v>42</v>
      </c>
    </row>
    <row r="6" spans="1:17" x14ac:dyDescent="0.25">
      <c r="I6" s="1" t="s">
        <v>25</v>
      </c>
      <c r="J6" s="2">
        <v>260</v>
      </c>
      <c r="K6" s="2">
        <v>124</v>
      </c>
      <c r="L6" s="2">
        <v>36</v>
      </c>
      <c r="M6" s="2">
        <v>40</v>
      </c>
    </row>
    <row r="9" spans="1:17" x14ac:dyDescent="0.25">
      <c r="A9" s="1" t="s">
        <v>29</v>
      </c>
      <c r="C9" s="1" t="s">
        <v>31</v>
      </c>
      <c r="D9" s="4">
        <f>H3</f>
        <v>32</v>
      </c>
      <c r="I9" s="1" t="s">
        <v>30</v>
      </c>
    </row>
    <row r="10" spans="1:17" x14ac:dyDescent="0.25">
      <c r="A10" s="1" t="s">
        <v>9</v>
      </c>
      <c r="B10" s="1">
        <f xml:space="preserve"> A3+J3+(E3-1)*(L3+O3)</f>
        <v>514</v>
      </c>
      <c r="C10" s="1" t="s">
        <v>12</v>
      </c>
      <c r="D10" s="1">
        <f xml:space="preserve"> B3+K3+D3*(M3+P3)</f>
        <v>687</v>
      </c>
      <c r="E10" s="1" t="s">
        <v>12</v>
      </c>
      <c r="F10" s="1">
        <f xml:space="preserve"> B10 + L3</f>
        <v>610</v>
      </c>
      <c r="G10" s="1" t="s">
        <v>12</v>
      </c>
      <c r="H10" s="1">
        <f xml:space="preserve"> D10+M3</f>
        <v>800</v>
      </c>
      <c r="I10" s="1" t="s">
        <v>11</v>
      </c>
    </row>
    <row r="11" spans="1:17" x14ac:dyDescent="0.25">
      <c r="A11" s="1" t="s">
        <v>9</v>
      </c>
      <c r="B11" s="1">
        <f xml:space="preserve"> A3+J4+(E3-1)*(L3+O3)</f>
        <v>600</v>
      </c>
      <c r="C11" s="1" t="s">
        <v>12</v>
      </c>
      <c r="D11" s="1">
        <f xml:space="preserve"> B3+K4+D3*(M3+P3)</f>
        <v>776</v>
      </c>
      <c r="E11" s="1" t="s">
        <v>12</v>
      </c>
      <c r="F11" s="1">
        <f xml:space="preserve"> B11+L4</f>
        <v>650</v>
      </c>
      <c r="G11" s="1" t="s">
        <v>12</v>
      </c>
      <c r="H11" s="1">
        <f xml:space="preserve"> D11+M4</f>
        <v>846</v>
      </c>
      <c r="I11" s="1" t="s">
        <v>11</v>
      </c>
    </row>
    <row r="12" spans="1:17" x14ac:dyDescent="0.25">
      <c r="A12" s="1" t="s">
        <v>9</v>
      </c>
      <c r="B12" s="1">
        <f xml:space="preserve"> A3+J5+(E3-1)*(L3+O3)</f>
        <v>508</v>
      </c>
      <c r="C12" s="1" t="s">
        <v>12</v>
      </c>
      <c r="D12" s="1">
        <f xml:space="preserve"> B3+K5+D3*(M3+P3)</f>
        <v>796</v>
      </c>
      <c r="E12" s="1" t="s">
        <v>12</v>
      </c>
      <c r="F12" s="1">
        <f xml:space="preserve"> B12+L5</f>
        <v>558</v>
      </c>
      <c r="G12" s="1" t="s">
        <v>12</v>
      </c>
      <c r="H12" s="1">
        <f xml:space="preserve"> D12+M5</f>
        <v>838</v>
      </c>
      <c r="I12" s="1" t="s">
        <v>11</v>
      </c>
    </row>
    <row r="13" spans="1:17" x14ac:dyDescent="0.25">
      <c r="A13" s="1" t="s">
        <v>9</v>
      </c>
      <c r="B13" s="1">
        <f xml:space="preserve"> A3+J6+(E3-1)*(L3+O3)</f>
        <v>558</v>
      </c>
      <c r="C13" s="1" t="s">
        <v>12</v>
      </c>
      <c r="D13" s="1">
        <f xml:space="preserve"> B3+K6+D3*(M3+P3)</f>
        <v>796</v>
      </c>
      <c r="E13" s="1" t="s">
        <v>12</v>
      </c>
      <c r="F13" s="1">
        <f xml:space="preserve"> B13+L6</f>
        <v>594</v>
      </c>
      <c r="G13" s="1" t="s">
        <v>12</v>
      </c>
      <c r="H13" s="1">
        <f xml:space="preserve"> D13+M6</f>
        <v>836</v>
      </c>
      <c r="I13" s="1" t="s">
        <v>10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B46BE-9EA9-4C12-8369-F9370C371B1E}">
  <dimension ref="A2:O18"/>
  <sheetViews>
    <sheetView workbookViewId="0">
      <selection activeCell="A12" sqref="A12:I18"/>
    </sheetView>
  </sheetViews>
  <sheetFormatPr baseColWidth="10" defaultRowHeight="15" x14ac:dyDescent="0.25"/>
  <cols>
    <col min="1" max="9" width="11.42578125" style="1"/>
    <col min="10" max="13" width="11.42578125" style="2"/>
    <col min="14" max="16384" width="11.42578125" style="1"/>
  </cols>
  <sheetData>
    <row r="2" spans="1:15" x14ac:dyDescent="0.25">
      <c r="A2" s="1" t="s">
        <v>4</v>
      </c>
      <c r="B2" s="1" t="s">
        <v>5</v>
      </c>
      <c r="J2" s="2" t="s">
        <v>2</v>
      </c>
      <c r="K2" s="2" t="s">
        <v>3</v>
      </c>
      <c r="L2" s="2" t="s">
        <v>0</v>
      </c>
      <c r="M2" s="2" t="s">
        <v>1</v>
      </c>
      <c r="N2" s="1" t="s">
        <v>20</v>
      </c>
      <c r="O2" s="1" t="s">
        <v>21</v>
      </c>
    </row>
    <row r="3" spans="1:15" x14ac:dyDescent="0.25">
      <c r="A3" s="1">
        <v>320</v>
      </c>
      <c r="B3" s="1">
        <v>420</v>
      </c>
      <c r="I3" s="1" t="s">
        <v>13</v>
      </c>
      <c r="J3" s="2">
        <v>250</v>
      </c>
      <c r="K3" s="2">
        <v>270</v>
      </c>
      <c r="L3" s="2">
        <v>370</v>
      </c>
      <c r="M3" s="2">
        <v>300</v>
      </c>
      <c r="N3" s="1">
        <v>0</v>
      </c>
      <c r="O3" s="1">
        <v>0</v>
      </c>
    </row>
    <row r="4" spans="1:15" x14ac:dyDescent="0.25">
      <c r="I4" s="1" t="s">
        <v>14</v>
      </c>
      <c r="J4" s="2">
        <v>460</v>
      </c>
      <c r="K4" s="2">
        <v>350</v>
      </c>
      <c r="L4" s="2">
        <v>160</v>
      </c>
      <c r="M4" s="2">
        <v>40</v>
      </c>
      <c r="N4" s="1">
        <v>200</v>
      </c>
      <c r="O4" s="1">
        <v>60</v>
      </c>
    </row>
    <row r="5" spans="1:15" x14ac:dyDescent="0.25">
      <c r="I5" s="1" t="s">
        <v>15</v>
      </c>
      <c r="J5" s="2">
        <v>480</v>
      </c>
      <c r="K5" s="2">
        <v>60</v>
      </c>
      <c r="L5" s="2">
        <v>160</v>
      </c>
      <c r="M5" s="2">
        <v>300</v>
      </c>
      <c r="N5" s="1">
        <v>200</v>
      </c>
      <c r="O5" s="1">
        <v>60</v>
      </c>
    </row>
    <row r="6" spans="1:15" x14ac:dyDescent="0.25">
      <c r="I6" s="1" t="s">
        <v>16</v>
      </c>
      <c r="J6" s="2">
        <v>-160</v>
      </c>
      <c r="K6" s="2">
        <v>460</v>
      </c>
      <c r="L6" s="2">
        <v>898</v>
      </c>
      <c r="M6" s="2">
        <v>20</v>
      </c>
      <c r="N6" s="1">
        <v>0</v>
      </c>
      <c r="O6" s="1">
        <v>0</v>
      </c>
    </row>
    <row r="7" spans="1:15" x14ac:dyDescent="0.25">
      <c r="I7" s="1" t="s">
        <v>17</v>
      </c>
      <c r="J7" s="2">
        <v>200</v>
      </c>
      <c r="K7" s="2">
        <v>485</v>
      </c>
      <c r="L7" s="2">
        <v>80</v>
      </c>
      <c r="M7" s="2">
        <v>110</v>
      </c>
      <c r="N7" s="1">
        <v>-60</v>
      </c>
      <c r="O7" s="1">
        <v>-140</v>
      </c>
    </row>
    <row r="8" spans="1:15" x14ac:dyDescent="0.25">
      <c r="I8" s="1" t="s">
        <v>18</v>
      </c>
      <c r="J8" s="2">
        <v>280</v>
      </c>
      <c r="K8" s="2">
        <v>485</v>
      </c>
      <c r="L8" s="2">
        <v>80</v>
      </c>
      <c r="M8" s="2">
        <v>110</v>
      </c>
      <c r="N8" s="1">
        <v>-60</v>
      </c>
      <c r="O8" s="1">
        <v>-140</v>
      </c>
    </row>
    <row r="9" spans="1:15" x14ac:dyDescent="0.25">
      <c r="I9" s="1" t="s">
        <v>19</v>
      </c>
      <c r="J9" s="2">
        <v>360</v>
      </c>
      <c r="K9" s="2">
        <v>485</v>
      </c>
      <c r="L9" s="2">
        <v>80</v>
      </c>
      <c r="M9" s="2">
        <v>110</v>
      </c>
      <c r="N9" s="1">
        <v>-60</v>
      </c>
      <c r="O9" s="1">
        <v>-140</v>
      </c>
    </row>
    <row r="12" spans="1:15" x14ac:dyDescent="0.25">
      <c r="A12" s="1" t="s">
        <v>9</v>
      </c>
      <c r="B12" s="1">
        <f xml:space="preserve"> A3+J3+N3</f>
        <v>570</v>
      </c>
      <c r="C12" s="1" t="s">
        <v>12</v>
      </c>
      <c r="D12" s="1">
        <f xml:space="preserve"> B3+K3+O3</f>
        <v>690</v>
      </c>
      <c r="E12" s="1" t="s">
        <v>12</v>
      </c>
      <c r="F12" s="1">
        <f t="shared" ref="F12:F18" si="0" xml:space="preserve"> B12+L3</f>
        <v>940</v>
      </c>
      <c r="G12" s="1" t="s">
        <v>12</v>
      </c>
      <c r="H12" s="1">
        <f xml:space="preserve"> D12+M3</f>
        <v>990</v>
      </c>
      <c r="I12" s="1" t="s">
        <v>11</v>
      </c>
    </row>
    <row r="13" spans="1:15" x14ac:dyDescent="0.25">
      <c r="A13" s="1" t="s">
        <v>9</v>
      </c>
      <c r="B13" s="1">
        <f xml:space="preserve"> A3+J4+N4</f>
        <v>980</v>
      </c>
      <c r="C13" s="1" t="s">
        <v>12</v>
      </c>
      <c r="D13" s="1">
        <f xml:space="preserve"> B3+K4+O4</f>
        <v>830</v>
      </c>
      <c r="E13" s="1" t="s">
        <v>12</v>
      </c>
      <c r="F13" s="1">
        <f t="shared" si="0"/>
        <v>1140</v>
      </c>
      <c r="G13" s="1" t="s">
        <v>12</v>
      </c>
      <c r="H13" s="1">
        <f xml:space="preserve"> D13+M4</f>
        <v>870</v>
      </c>
      <c r="I13" s="1" t="s">
        <v>11</v>
      </c>
    </row>
    <row r="14" spans="1:15" x14ac:dyDescent="0.25">
      <c r="A14" s="1" t="s">
        <v>9</v>
      </c>
      <c r="B14" s="1">
        <f xml:space="preserve"> A3+J5+N5</f>
        <v>1000</v>
      </c>
      <c r="C14" s="1" t="s">
        <v>12</v>
      </c>
      <c r="D14" s="1">
        <f xml:space="preserve"> B3+K5+O5</f>
        <v>540</v>
      </c>
      <c r="E14" s="1" t="s">
        <v>12</v>
      </c>
      <c r="F14" s="1">
        <f t="shared" si="0"/>
        <v>1160</v>
      </c>
      <c r="G14" s="1" t="s">
        <v>12</v>
      </c>
      <c r="H14" s="1">
        <f xml:space="preserve"> D14+M5</f>
        <v>840</v>
      </c>
      <c r="I14" s="1" t="s">
        <v>11</v>
      </c>
    </row>
    <row r="15" spans="1:15" x14ac:dyDescent="0.25">
      <c r="A15" s="1" t="s">
        <v>9</v>
      </c>
      <c r="B15" s="1">
        <f xml:space="preserve"> A3+J6+N6</f>
        <v>160</v>
      </c>
      <c r="C15" s="1" t="s">
        <v>12</v>
      </c>
      <c r="D15" s="1">
        <f xml:space="preserve"> B3+K6+O6</f>
        <v>880</v>
      </c>
      <c r="E15" s="1" t="s">
        <v>12</v>
      </c>
      <c r="F15" s="1">
        <f t="shared" si="0"/>
        <v>1058</v>
      </c>
      <c r="G15" s="1" t="s">
        <v>12</v>
      </c>
      <c r="H15" s="1">
        <f>D15+M6</f>
        <v>900</v>
      </c>
      <c r="I15" s="1" t="s">
        <v>11</v>
      </c>
    </row>
    <row r="16" spans="1:15" x14ac:dyDescent="0.25">
      <c r="A16" s="1" t="s">
        <v>9</v>
      </c>
      <c r="B16" s="1">
        <f xml:space="preserve"> A3+J7+N7</f>
        <v>460</v>
      </c>
      <c r="C16" s="1" t="s">
        <v>12</v>
      </c>
      <c r="D16" s="1">
        <f xml:space="preserve"> B3+K7+O7</f>
        <v>765</v>
      </c>
      <c r="E16" s="1" t="s">
        <v>12</v>
      </c>
      <c r="F16" s="1">
        <f t="shared" si="0"/>
        <v>540</v>
      </c>
      <c r="G16" s="1" t="s">
        <v>12</v>
      </c>
      <c r="H16" s="1">
        <f>D16+M7</f>
        <v>875</v>
      </c>
      <c r="I16" s="1" t="s">
        <v>11</v>
      </c>
    </row>
    <row r="17" spans="1:9" x14ac:dyDescent="0.25">
      <c r="A17" s="1" t="s">
        <v>9</v>
      </c>
      <c r="B17" s="1">
        <f xml:space="preserve"> A3+J8+N8</f>
        <v>540</v>
      </c>
      <c r="C17" s="1" t="s">
        <v>12</v>
      </c>
      <c r="D17" s="1">
        <f xml:space="preserve"> B3+K8+O8</f>
        <v>765</v>
      </c>
      <c r="E17" s="1" t="s">
        <v>12</v>
      </c>
      <c r="F17" s="1">
        <f t="shared" si="0"/>
        <v>620</v>
      </c>
      <c r="G17" s="1" t="s">
        <v>12</v>
      </c>
      <c r="H17" s="1">
        <f>D17+M8</f>
        <v>875</v>
      </c>
      <c r="I17" s="1" t="s">
        <v>11</v>
      </c>
    </row>
    <row r="18" spans="1:9" x14ac:dyDescent="0.25">
      <c r="A18" s="1" t="s">
        <v>9</v>
      </c>
      <c r="B18" s="1">
        <f xml:space="preserve"> A3+J9+N9</f>
        <v>620</v>
      </c>
      <c r="C18" s="1" t="s">
        <v>12</v>
      </c>
      <c r="D18" s="1">
        <f xml:space="preserve"> B3+K9+O9</f>
        <v>765</v>
      </c>
      <c r="E18" s="1" t="s">
        <v>12</v>
      </c>
      <c r="F18" s="1">
        <f t="shared" si="0"/>
        <v>700</v>
      </c>
      <c r="G18" s="1" t="s">
        <v>12</v>
      </c>
      <c r="H18" s="1">
        <f>D18+M9</f>
        <v>875</v>
      </c>
      <c r="I18" s="1" t="s">
        <v>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Dosierer</vt:lpstr>
      <vt:lpstr>Line 1-4</vt:lpstr>
      <vt:lpstr>Line 5-6</vt:lpstr>
      <vt:lpstr>Line 6-12</vt:lpstr>
      <vt:lpstr>Tabelle1</vt:lpstr>
      <vt:lpstr>Dosierer 18-24</vt:lpstr>
      <vt:lpstr>Line 18-24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Precision 7520</dc:creator>
  <cp:lastModifiedBy>Precision 7520</cp:lastModifiedBy>
  <dcterms:created xsi:type="dcterms:W3CDTF">2022-08-17T13:03:05Z</dcterms:created>
  <dcterms:modified xsi:type="dcterms:W3CDTF">2022-11-19T11:44:53Z</dcterms:modified>
</cp:coreProperties>
</file>