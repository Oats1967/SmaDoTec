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C:\DEVELOP\Cplusplus\EasyControl\Doc\Protokoll\"/>
    </mc:Choice>
  </mc:AlternateContent>
  <xr:revisionPtr revIDLastSave="0" documentId="13_ncr:1_{42D14075-5454-4213-A58F-89F47DD91C86}" xr6:coauthVersionLast="47" xr6:coauthVersionMax="47" xr10:uidLastSave="{00000000-0000-0000-0000-000000000000}"/>
  <bookViews>
    <workbookView xWindow="28680" yWindow="-120" windowWidth="29040" windowHeight="15840" tabRatio="500" xr2:uid="{00000000-000D-0000-FFFF-FFFF00000000}"/>
  </bookViews>
  <sheets>
    <sheet name="Tabelle1" sheetId="1" r:id="rId1"/>
  </sheets>
  <definedNames>
    <definedName name="_xlnm.Print_Titles" localSheetId="0">Tabelle1!$31:$31</definedName>
  </definedNames>
  <calcPr calcId="191029"/>
</workbook>
</file>

<file path=xl/calcChain.xml><?xml version="1.0" encoding="utf-8"?>
<calcChain xmlns="http://schemas.openxmlformats.org/spreadsheetml/2006/main">
  <c r="C269" i="1" l="1"/>
  <c r="C268" i="1"/>
  <c r="C266" i="1"/>
  <c r="D258" i="1"/>
  <c r="D259" i="1" s="1"/>
  <c r="D266" i="1" s="1"/>
  <c r="D268" i="1" s="1"/>
  <c r="D269" i="1" s="1"/>
  <c r="C297" i="1"/>
  <c r="A551" i="1"/>
  <c r="A538" i="1"/>
  <c r="D495" i="1"/>
  <c r="D535" i="1" s="1"/>
  <c r="C535" i="1"/>
  <c r="A497" i="1"/>
  <c r="C495" i="1"/>
  <c r="C446" i="1"/>
  <c r="A457" i="1"/>
  <c r="A408" i="1"/>
  <c r="A449" i="1"/>
  <c r="D406" i="1"/>
  <c r="D407" i="1" s="1"/>
  <c r="D446" i="1" s="1"/>
  <c r="A363" i="1"/>
  <c r="D278" i="1"/>
  <c r="D279" i="1" s="1"/>
  <c r="D283" i="1" s="1"/>
  <c r="D285" i="1" s="1"/>
  <c r="D286" i="1" s="1"/>
  <c r="D290" i="1" s="1"/>
  <c r="D292" i="1" s="1"/>
  <c r="D293" i="1" s="1"/>
  <c r="D297" i="1" s="1"/>
  <c r="D299" i="1" s="1"/>
  <c r="D300" i="1" s="1"/>
  <c r="D304" i="1" s="1"/>
  <c r="D306" i="1" s="1"/>
  <c r="D307" i="1" s="1"/>
  <c r="D311" i="1" s="1"/>
  <c r="D313" i="1" s="1"/>
  <c r="D314" i="1" s="1"/>
  <c r="D316" i="1" s="1"/>
  <c r="D318" i="1" s="1"/>
  <c r="D319" i="1" s="1"/>
  <c r="D323" i="1" s="1"/>
  <c r="D325" i="1" s="1"/>
  <c r="D326" i="1" s="1"/>
  <c r="D330" i="1" s="1"/>
  <c r="D332" i="1" s="1"/>
  <c r="D333" i="1" s="1"/>
  <c r="D337" i="1" s="1"/>
  <c r="D339" i="1" s="1"/>
  <c r="D340" i="1" s="1"/>
  <c r="D344" i="1" s="1"/>
  <c r="D346" i="1" s="1"/>
  <c r="D347" i="1" s="1"/>
  <c r="D351" i="1" s="1"/>
  <c r="D353" i="1" s="1"/>
  <c r="D354" i="1" s="1"/>
  <c r="D358" i="1" s="1"/>
  <c r="D360" i="1" s="1"/>
  <c r="D361" i="1" s="1"/>
  <c r="A272" i="1"/>
  <c r="A252" i="1"/>
  <c r="A204" i="1"/>
  <c r="A156" i="1"/>
  <c r="D198" i="1"/>
  <c r="D200" i="1" s="1"/>
  <c r="D201" i="1" s="1"/>
  <c r="D246" i="1" s="1"/>
  <c r="D248" i="1" s="1"/>
  <c r="D249" i="1" s="1"/>
  <c r="D76" i="1"/>
  <c r="D77" i="1" s="1"/>
  <c r="D81" i="1" s="1"/>
  <c r="D83" i="1" s="1"/>
  <c r="D84" i="1" s="1"/>
  <c r="D88" i="1" s="1"/>
  <c r="D90" i="1" s="1"/>
  <c r="D91" i="1" s="1"/>
  <c r="D95" i="1" s="1"/>
  <c r="D97" i="1" s="1"/>
  <c r="D98" i="1" s="1"/>
  <c r="D102" i="1" s="1"/>
  <c r="D104" i="1" s="1"/>
  <c r="D105" i="1" s="1"/>
  <c r="D109" i="1" s="1"/>
  <c r="D111" i="1" s="1"/>
  <c r="D112" i="1" s="1"/>
  <c r="D116" i="1" s="1"/>
  <c r="D118" i="1" s="1"/>
  <c r="D119" i="1" s="1"/>
  <c r="D123" i="1" s="1"/>
  <c r="D125" i="1" s="1"/>
  <c r="D126" i="1" s="1"/>
  <c r="D130" i="1" s="1"/>
  <c r="D132" i="1" s="1"/>
  <c r="D133" i="1" s="1"/>
  <c r="D137" i="1" s="1"/>
  <c r="D139" i="1" s="1"/>
  <c r="D140" i="1" s="1"/>
  <c r="D144" i="1" s="1"/>
  <c r="D146" i="1" s="1"/>
  <c r="D147" i="1" s="1"/>
  <c r="D151" i="1" s="1"/>
  <c r="D153" i="1" s="1"/>
  <c r="D154" i="1" s="1"/>
  <c r="C65" i="1"/>
  <c r="C64" i="1"/>
  <c r="C62" i="1"/>
  <c r="C58" i="1"/>
  <c r="D50" i="1"/>
  <c r="D51" i="1" s="1"/>
  <c r="D55" i="1" s="1"/>
  <c r="D57" i="1" s="1"/>
  <c r="D58" i="1" s="1"/>
  <c r="D62" i="1" s="1"/>
  <c r="A70" i="1"/>
  <c r="C57" i="1"/>
  <c r="C55" i="1"/>
  <c r="A44" i="1"/>
  <c r="C51" i="1"/>
  <c r="C50" i="1"/>
  <c r="C48" i="1"/>
  <c r="C144" i="1"/>
  <c r="C326" i="1" l="1"/>
  <c r="C316" i="1"/>
  <c r="C339" i="1"/>
  <c r="C354" i="1"/>
  <c r="C404" i="1"/>
  <c r="C318" i="1"/>
  <c r="C340" i="1"/>
  <c r="C406" i="1"/>
  <c r="C337" i="1"/>
  <c r="C353" i="1"/>
  <c r="C319" i="1"/>
  <c r="C330" i="1"/>
  <c r="C332" i="1"/>
  <c r="C344" i="1"/>
  <c r="C407" i="1"/>
  <c r="C333" i="1"/>
  <c r="C346" i="1"/>
  <c r="C358" i="1"/>
  <c r="C323" i="1"/>
  <c r="C347" i="1"/>
  <c r="C360" i="1"/>
  <c r="C453" i="1"/>
  <c r="C325" i="1"/>
  <c r="C351" i="1"/>
  <c r="C361" i="1"/>
  <c r="C276" i="1"/>
  <c r="C292" i="1"/>
  <c r="C278" i="1"/>
  <c r="C293" i="1"/>
  <c r="C258" i="1"/>
  <c r="C285" i="1"/>
  <c r="C111" i="1"/>
  <c r="C307" i="1"/>
  <c r="C299" i="1"/>
  <c r="C300" i="1"/>
  <c r="C279" i="1"/>
  <c r="C304" i="1"/>
  <c r="C248" i="1"/>
  <c r="C283" i="1"/>
  <c r="C306" i="1"/>
  <c r="C259" i="1"/>
  <c r="C286" i="1"/>
  <c r="C112" i="1"/>
  <c r="C311" i="1"/>
  <c r="C313" i="1"/>
  <c r="C290" i="1"/>
  <c r="C314" i="1"/>
  <c r="C249" i="1"/>
  <c r="C256" i="1"/>
  <c r="C140" i="1"/>
  <c r="C200" i="1"/>
  <c r="C201" i="1"/>
  <c r="C139" i="1"/>
  <c r="C137" i="1"/>
  <c r="C246" i="1"/>
  <c r="C198" i="1"/>
  <c r="C104" i="1"/>
  <c r="C154" i="1"/>
  <c r="C118" i="1"/>
  <c r="C123" i="1"/>
  <c r="C125" i="1"/>
  <c r="C126" i="1"/>
  <c r="C146" i="1"/>
  <c r="C130" i="1"/>
  <c r="C147" i="1"/>
  <c r="C109" i="1"/>
  <c r="C132" i="1"/>
  <c r="C151" i="1"/>
  <c r="C116" i="1"/>
  <c r="C133" i="1"/>
  <c r="C153" i="1"/>
  <c r="C119" i="1"/>
  <c r="C105" i="1"/>
  <c r="C102" i="1"/>
  <c r="D64" i="1"/>
  <c r="D65" i="1" s="1"/>
  <c r="C77" i="1"/>
  <c r="C84" i="1"/>
  <c r="C81" i="1"/>
  <c r="C88" i="1"/>
  <c r="C90" i="1"/>
  <c r="C91" i="1"/>
  <c r="C95" i="1"/>
  <c r="C97" i="1"/>
  <c r="C74" i="1"/>
  <c r="C76" i="1"/>
  <c r="C98" i="1"/>
  <c r="C83" i="1"/>
</calcChain>
</file>

<file path=xl/sharedStrings.xml><?xml version="1.0" encoding="utf-8"?>
<sst xmlns="http://schemas.openxmlformats.org/spreadsheetml/2006/main" count="720" uniqueCount="205">
  <si>
    <t>Description</t>
  </si>
  <si>
    <t>S7-DB</t>
  </si>
  <si>
    <t>S7-DBO</t>
  </si>
  <si>
    <t>Bytes</t>
  </si>
  <si>
    <t>Typ</t>
  </si>
  <si>
    <t>Offset</t>
  </si>
  <si>
    <t>Massflow - Feeder9</t>
  </si>
  <si>
    <t>Massflow - Feeder10</t>
  </si>
  <si>
    <t>Net weight - Feeder9</t>
  </si>
  <si>
    <t>Net weight - Feeder10</t>
  </si>
  <si>
    <t>Totalisator - Feeder 9</t>
  </si>
  <si>
    <t>Totalisator - Feeder 10</t>
  </si>
  <si>
    <t>Rotational speed- Feeder9</t>
  </si>
  <si>
    <t>Rotational speed- Feeder10</t>
  </si>
  <si>
    <t>Reserved - Feeder9</t>
  </si>
  <si>
    <t>Reserved - Feeder10</t>
  </si>
  <si>
    <t>Doserperformance- 9</t>
  </si>
  <si>
    <t>Doserperformance- 10</t>
  </si>
  <si>
    <t>…</t>
  </si>
  <si>
    <r>
      <t xml:space="preserve">Net weight </t>
    </r>
    <r>
      <rPr>
        <sz val="10"/>
        <rFont val="Arial"/>
        <family val="2"/>
      </rPr>
      <t>- Feeder1</t>
    </r>
  </si>
  <si>
    <r>
      <rPr>
        <b/>
        <sz val="10"/>
        <rFont val="Arial"/>
        <family val="2"/>
      </rPr>
      <t>Totalisator</t>
    </r>
    <r>
      <rPr>
        <sz val="10"/>
        <rFont val="Arial"/>
        <family val="2"/>
      </rPr>
      <t xml:space="preserve"> - Feeder 1</t>
    </r>
  </si>
  <si>
    <r>
      <rPr>
        <b/>
        <sz val="10"/>
        <rFont val="Arial"/>
        <family val="2"/>
      </rPr>
      <t>Rotational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speed</t>
    </r>
    <r>
      <rPr>
        <sz val="10"/>
        <rFont val="Arial"/>
        <family val="2"/>
      </rPr>
      <t>- Feeder1</t>
    </r>
  </si>
  <si>
    <r>
      <rPr>
        <b/>
        <sz val="10"/>
        <rFont val="Arial"/>
        <family val="2"/>
      </rPr>
      <t>Reserved</t>
    </r>
    <r>
      <rPr>
        <sz val="10"/>
        <rFont val="Arial"/>
        <family val="2"/>
      </rPr>
      <t xml:space="preserve"> - Feeder1</t>
    </r>
  </si>
  <si>
    <r>
      <rPr>
        <b/>
        <sz val="10"/>
        <rFont val="Arial"/>
        <family val="2"/>
      </rPr>
      <t>Doserperformance</t>
    </r>
    <r>
      <rPr>
        <sz val="10"/>
        <rFont val="Arial"/>
        <family val="2"/>
      </rPr>
      <t>- 1</t>
    </r>
  </si>
  <si>
    <t>Refill alarm limit - Feeder9</t>
  </si>
  <si>
    <t>Refill alarm limit - Feeder10</t>
  </si>
  <si>
    <r>
      <rPr>
        <b/>
        <sz val="10"/>
        <rFont val="Arial"/>
        <family val="2"/>
      </rPr>
      <t>Drive command</t>
    </r>
    <r>
      <rPr>
        <sz val="10"/>
        <rFont val="Arial"/>
        <family val="2"/>
      </rPr>
      <t>- Feeder1</t>
    </r>
  </si>
  <si>
    <t>Drive command- Feeder9</t>
  </si>
  <si>
    <t>Drive command- Feeder10</t>
  </si>
  <si>
    <t>Tara weight - Feeder9</t>
  </si>
  <si>
    <t>Tara weight - Feeder10</t>
  </si>
  <si>
    <r>
      <rPr>
        <b/>
        <sz val="10"/>
        <rFont val="Arial"/>
        <family val="2"/>
      </rPr>
      <t xml:space="preserve">Tara weight </t>
    </r>
    <r>
      <rPr>
        <sz val="10"/>
        <rFont val="Arial"/>
        <family val="2"/>
      </rPr>
      <t>- Feeder1</t>
    </r>
  </si>
  <si>
    <r>
      <rPr>
        <b/>
        <sz val="10"/>
        <rFont val="Arial"/>
        <family val="2"/>
      </rPr>
      <t>Sampe time</t>
    </r>
    <r>
      <rPr>
        <sz val="10"/>
        <rFont val="Arial"/>
        <family val="2"/>
      </rPr>
      <t xml:space="preserve"> - Feeder1</t>
    </r>
  </si>
  <si>
    <t>Sampe time - Feeder9</t>
  </si>
  <si>
    <t>Sampe time - Feeder10</t>
  </si>
  <si>
    <r>
      <rPr>
        <b/>
        <sz val="10"/>
        <rFont val="Arial"/>
        <family val="2"/>
      </rPr>
      <t>Prop. Gain</t>
    </r>
    <r>
      <rPr>
        <sz val="10"/>
        <rFont val="Arial"/>
        <family val="2"/>
      </rPr>
      <t xml:space="preserve"> - Feeder1</t>
    </r>
  </si>
  <si>
    <t>Prop. Gain - Feeder9</t>
  </si>
  <si>
    <t>Prop. Gain - Feeder10</t>
  </si>
  <si>
    <r>
      <rPr>
        <b/>
        <sz val="10"/>
        <rFont val="Arial"/>
        <family val="2"/>
      </rPr>
      <t>Massflow filter</t>
    </r>
    <r>
      <rPr>
        <sz val="10"/>
        <rFont val="Arial"/>
        <family val="2"/>
      </rPr>
      <t xml:space="preserve"> - Feeder1</t>
    </r>
  </si>
  <si>
    <t>Massflow filter - Feeder9</t>
  </si>
  <si>
    <t>Massflow filter - Feeder10</t>
  </si>
  <si>
    <r>
      <rPr>
        <b/>
        <sz val="10"/>
        <rFont val="Arial"/>
        <family val="2"/>
      </rPr>
      <t>Alarm noise limit</t>
    </r>
    <r>
      <rPr>
        <sz val="10"/>
        <rFont val="Arial"/>
        <family val="2"/>
      </rPr>
      <t xml:space="preserve"> - Feeder1</t>
    </r>
  </si>
  <si>
    <t>Alarm noise limit - Feeder9</t>
  </si>
  <si>
    <t>Alarm noise limit - Feeder10</t>
  </si>
  <si>
    <t>Alarme</t>
  </si>
  <si>
    <t>Ext. Alarm</t>
  </si>
  <si>
    <t>Sync. Error</t>
  </si>
  <si>
    <t>Massflow +</t>
  </si>
  <si>
    <t>Massflow -</t>
  </si>
  <si>
    <t>reserved</t>
  </si>
  <si>
    <t>feeder empty</t>
  </si>
  <si>
    <t>Load cell overload</t>
  </si>
  <si>
    <t>Refill alarm</t>
  </si>
  <si>
    <t>Encoder error</t>
  </si>
  <si>
    <t>Load cell error</t>
  </si>
  <si>
    <t>Line stop</t>
  </si>
  <si>
    <t>Bit Nr.</t>
  </si>
  <si>
    <t>Drive command +</t>
  </si>
  <si>
    <t>Drive command -</t>
  </si>
  <si>
    <t>Dose performance +</t>
  </si>
  <si>
    <t>Dose performance -</t>
  </si>
  <si>
    <r>
      <rPr>
        <b/>
        <sz val="10"/>
        <rFont val="Arial"/>
        <family val="2"/>
      </rPr>
      <t xml:space="preserve">Alarm </t>
    </r>
    <r>
      <rPr>
        <sz val="10"/>
        <rFont val="Arial"/>
        <family val="2"/>
      </rPr>
      <t>- Feeder1</t>
    </r>
  </si>
  <si>
    <t>Alarm - Feeder9</t>
  </si>
  <si>
    <t>Alarm - Feeder10</t>
  </si>
  <si>
    <t>DWORD</t>
  </si>
  <si>
    <t>Status</t>
  </si>
  <si>
    <t>No alarm pending</t>
  </si>
  <si>
    <t>gravimetric</t>
  </si>
  <si>
    <t>volumetric</t>
  </si>
  <si>
    <t>feeder running</t>
  </si>
  <si>
    <t>refill active</t>
  </si>
  <si>
    <t>calibration running</t>
  </si>
  <si>
    <r>
      <rPr>
        <b/>
        <sz val="10"/>
        <rFont val="Arial"/>
        <family val="2"/>
      </rPr>
      <t xml:space="preserve">Status </t>
    </r>
    <r>
      <rPr>
        <sz val="10"/>
        <rFont val="Arial"/>
        <family val="2"/>
      </rPr>
      <t>- Feeder1</t>
    </r>
  </si>
  <si>
    <t>Status - Feeder9</t>
  </si>
  <si>
    <t>Status - Feeder10</t>
  </si>
  <si>
    <r>
      <t xml:space="preserve">Setpoint </t>
    </r>
    <r>
      <rPr>
        <sz val="10"/>
        <rFont val="Arial"/>
        <family val="2"/>
      </rPr>
      <t>- Feeder1</t>
    </r>
  </si>
  <si>
    <t>Setpoint - Feeder9</t>
  </si>
  <si>
    <t>Setpoint - Feeder10</t>
  </si>
  <si>
    <r>
      <t xml:space="preserve">Dose performance </t>
    </r>
    <r>
      <rPr>
        <sz val="10"/>
        <rFont val="Arial"/>
        <family val="2"/>
      </rPr>
      <t>- 1</t>
    </r>
  </si>
  <si>
    <t>Dose performance - 9</t>
  </si>
  <si>
    <t>Dose performance - 10</t>
  </si>
  <si>
    <r>
      <t>Refill limit min</t>
    </r>
    <r>
      <rPr>
        <sz val="10"/>
        <rFont val="Arial"/>
        <family val="2"/>
      </rPr>
      <t>- 1</t>
    </r>
  </si>
  <si>
    <t>Refill limit min - 9</t>
  </si>
  <si>
    <t>Refill limit min - 10</t>
  </si>
  <si>
    <r>
      <t>Refill limit max</t>
    </r>
    <r>
      <rPr>
        <sz val="10"/>
        <rFont val="Arial"/>
        <family val="2"/>
      </rPr>
      <t>- 1</t>
    </r>
  </si>
  <si>
    <t>Refill limit max - 9</t>
  </si>
  <si>
    <t>Refill limit max - 10</t>
  </si>
  <si>
    <t>Massflow alarm low - 9</t>
  </si>
  <si>
    <r>
      <t>Massflow alarm low</t>
    </r>
    <r>
      <rPr>
        <sz val="10"/>
        <rFont val="Arial"/>
        <family val="2"/>
      </rPr>
      <t>- 1</t>
    </r>
  </si>
  <si>
    <t>Massflow alarm low - 10</t>
  </si>
  <si>
    <t>Massflow alarm high- 10</t>
  </si>
  <si>
    <t>Massflow alarm high - 9</t>
  </si>
  <si>
    <r>
      <t>Massflow alarm high</t>
    </r>
    <r>
      <rPr>
        <sz val="10"/>
        <rFont val="Arial"/>
        <family val="2"/>
      </rPr>
      <t>- 1</t>
    </r>
  </si>
  <si>
    <r>
      <t xml:space="preserve">Refill time </t>
    </r>
    <r>
      <rPr>
        <sz val="10"/>
        <rFont val="Arial"/>
        <family val="2"/>
      </rPr>
      <t>- 1</t>
    </r>
  </si>
  <si>
    <t>Refill time - 9</t>
  </si>
  <si>
    <t>Refill time - 10</t>
  </si>
  <si>
    <r>
      <t xml:space="preserve">Refill alarm limit </t>
    </r>
    <r>
      <rPr>
        <sz val="10"/>
        <rFont val="Arial"/>
        <family val="2"/>
      </rPr>
      <t>- 1</t>
    </r>
  </si>
  <si>
    <t>Refill alarm limit - 9</t>
  </si>
  <si>
    <t>Refill alarm limit - 10</t>
  </si>
  <si>
    <t>3. PC-&gt;S7 : Alarmstatus</t>
  </si>
  <si>
    <t>1. PC-&gt;S7  : Analog general values</t>
  </si>
  <si>
    <t>2. PC-&gt;S7 : Analog special values</t>
  </si>
  <si>
    <t>5. S7-&gt;PC : Analog general values</t>
  </si>
  <si>
    <t>6. S7-&gt;PC : Analog special values</t>
  </si>
  <si>
    <t>7. S7-&gt;PC : Command control</t>
  </si>
  <si>
    <r>
      <t xml:space="preserve">Alarm delay </t>
    </r>
    <r>
      <rPr>
        <sz val="10"/>
        <rFont val="Arial"/>
        <family val="2"/>
      </rPr>
      <t>- 1</t>
    </r>
  </si>
  <si>
    <t>Alarm delay - 9</t>
  </si>
  <si>
    <t>Alarm delay - 10</t>
  </si>
  <si>
    <r>
      <t xml:space="preserve">Start delay </t>
    </r>
    <r>
      <rPr>
        <sz val="10"/>
        <rFont val="Arial"/>
        <family val="2"/>
      </rPr>
      <t>- 1</t>
    </r>
  </si>
  <si>
    <t>Start delay - 9</t>
  </si>
  <si>
    <t>Start delay - 10</t>
  </si>
  <si>
    <r>
      <t xml:space="preserve">Sample time </t>
    </r>
    <r>
      <rPr>
        <sz val="10"/>
        <rFont val="Arial"/>
        <family val="2"/>
      </rPr>
      <t>- 1</t>
    </r>
  </si>
  <si>
    <t>Sample time - 9</t>
  </si>
  <si>
    <t>Sample time - 10</t>
  </si>
  <si>
    <r>
      <t xml:space="preserve">Prop. gain </t>
    </r>
    <r>
      <rPr>
        <sz val="10"/>
        <rFont val="Arial"/>
        <family val="2"/>
      </rPr>
      <t>- 1</t>
    </r>
  </si>
  <si>
    <t>Prop. gain - 9</t>
  </si>
  <si>
    <t>Prop. gain - 10</t>
  </si>
  <si>
    <r>
      <t xml:space="preserve">Massflow filter </t>
    </r>
    <r>
      <rPr>
        <sz val="10"/>
        <rFont val="Arial"/>
        <family val="2"/>
      </rPr>
      <t>- 1</t>
    </r>
  </si>
  <si>
    <t>Massflow filter  - 9</t>
  </si>
  <si>
    <t>Massflow filter  - 10</t>
  </si>
  <si>
    <r>
      <t xml:space="preserve">Alarm noise limit </t>
    </r>
    <r>
      <rPr>
        <sz val="10"/>
        <rFont val="Arial"/>
        <family val="2"/>
      </rPr>
      <t>- 1</t>
    </r>
  </si>
  <si>
    <t>Alarm noise limit  - 9</t>
  </si>
  <si>
    <t>Alarm noise limit  - 10</t>
  </si>
  <si>
    <t>Control</t>
  </si>
  <si>
    <t>Start feeder</t>
  </si>
  <si>
    <t>Stop feeder</t>
  </si>
  <si>
    <t>Alarm clear</t>
  </si>
  <si>
    <t>Refill disable</t>
  </si>
  <si>
    <t>Tare</t>
  </si>
  <si>
    <t>Calibrate</t>
  </si>
  <si>
    <t xml:space="preserve">Totalizer reset </t>
  </si>
  <si>
    <t>Refill start</t>
  </si>
  <si>
    <t>Counter will be incremented by PC in order to assure communication is still alive</t>
  </si>
  <si>
    <t>Communication counter</t>
  </si>
  <si>
    <t>REAL</t>
  </si>
  <si>
    <t>Communication protocol</t>
  </si>
  <si>
    <t xml:space="preserve"> S7 &lt;-&gt; EasyControl</t>
  </si>
  <si>
    <r>
      <rPr>
        <b/>
        <sz val="10"/>
        <rFont val="Arial"/>
        <family val="2"/>
      </rPr>
      <t>Refill alarm limit</t>
    </r>
    <r>
      <rPr>
        <sz val="10"/>
        <rFont val="Arial"/>
        <family val="2"/>
      </rPr>
      <t xml:space="preserve"> - Feeder1</t>
    </r>
  </si>
  <si>
    <t>Massflow too high</t>
  </si>
  <si>
    <t>Massflow too low</t>
  </si>
  <si>
    <t>Drive command too high</t>
  </si>
  <si>
    <t>Drive command too low</t>
  </si>
  <si>
    <t>local mode</t>
  </si>
  <si>
    <t>line mode</t>
  </si>
  <si>
    <t>set feeder to line mode</t>
  </si>
  <si>
    <t>set feeder to local mode</t>
  </si>
  <si>
    <t>calibrate feeder</t>
  </si>
  <si>
    <t>tare feeder</t>
  </si>
  <si>
    <t>start feeder</t>
  </si>
  <si>
    <t>stop feeder</t>
  </si>
  <si>
    <t>set feeder to gravimetric mode</t>
  </si>
  <si>
    <t>set feeder to volumetric mode</t>
  </si>
  <si>
    <t>Start refill / Only if Refill enable is set</t>
  </si>
  <si>
    <t>feeder is in local mode</t>
  </si>
  <si>
    <t>feeder is in line mode</t>
  </si>
  <si>
    <t>line mode active</t>
  </si>
  <si>
    <t>local mode active</t>
  </si>
  <si>
    <t>gravimetric mode active</t>
  </si>
  <si>
    <t>volumetric mode active</t>
  </si>
  <si>
    <t>alarm clear</t>
  </si>
  <si>
    <t>Refill disable / feeder empty</t>
  </si>
  <si>
    <t>Refill stop</t>
  </si>
  <si>
    <t>Stop refill / if refill is active</t>
  </si>
  <si>
    <t>Line control</t>
  </si>
  <si>
    <t>start line</t>
  </si>
  <si>
    <t>stop line</t>
  </si>
  <si>
    <t>Totalizer reset</t>
  </si>
  <si>
    <t>set alarm 1</t>
  </si>
  <si>
    <t>clr alarm 1</t>
  </si>
  <si>
    <t>set alarrm 1</t>
  </si>
  <si>
    <t>4. PC-&gt;S7 : Feeder Processstatus</t>
  </si>
  <si>
    <t>Line process status</t>
  </si>
  <si>
    <t>Line alarm status</t>
  </si>
  <si>
    <t>10.PC-&gt;S7 : Line process status</t>
  </si>
  <si>
    <t>11. PC-&gt;S7 : Line alarm status</t>
  </si>
  <si>
    <t>alarm1 activated</t>
  </si>
  <si>
    <t>flashlight on</t>
  </si>
  <si>
    <t>flashlight off</t>
  </si>
  <si>
    <t>flash light on ?</t>
  </si>
  <si>
    <r>
      <rPr>
        <b/>
        <sz val="10"/>
        <rFont val="Arial"/>
        <family val="2"/>
      </rPr>
      <t xml:space="preserve">Control </t>
    </r>
    <r>
      <rPr>
        <sz val="10"/>
        <rFont val="Arial"/>
        <family val="2"/>
      </rPr>
      <t>- Feeder1</t>
    </r>
  </si>
  <si>
    <t>Control - Feeder9</t>
  </si>
  <si>
    <t>Control - Feeder10</t>
  </si>
  <si>
    <t>reset totalizer</t>
  </si>
  <si>
    <t>8. S7-&gt;PC : Line command control</t>
  </si>
  <si>
    <t>9. PC-&gt;S7 : General communication parameters</t>
  </si>
  <si>
    <t>refill disabled</t>
  </si>
  <si>
    <t>disabled -&gt; feeder empty</t>
  </si>
  <si>
    <r>
      <t xml:space="preserve">Massflow </t>
    </r>
    <r>
      <rPr>
        <sz val="10"/>
        <rFont val="Arial"/>
        <family val="2"/>
      </rPr>
      <t>- Feeder1</t>
    </r>
    <r>
      <rPr>
        <b/>
        <sz val="10"/>
        <rFont val="Arial"/>
        <family val="2"/>
      </rPr>
      <t xml:space="preserve"> [kg/h]</t>
    </r>
  </si>
  <si>
    <t>Unit</t>
  </si>
  <si>
    <t>[kg/h]</t>
  </si>
  <si>
    <t>[kg]</t>
  </si>
  <si>
    <t>12. Conversion from g/10s to kg/h</t>
  </si>
  <si>
    <t>13. Conversion from kg/h to g/10s</t>
  </si>
  <si>
    <t>[s]</t>
  </si>
  <si>
    <t>Load cell noise</t>
  </si>
  <si>
    <r>
      <t xml:space="preserve">Paddlespeed </t>
    </r>
    <r>
      <rPr>
        <sz val="10"/>
        <rFont val="Arial"/>
        <family val="2"/>
      </rPr>
      <t>- Feeder1</t>
    </r>
  </si>
  <si>
    <t>Paddlespeed - Feeder9</t>
  </si>
  <si>
    <t>Paddlespeed - Feeder10</t>
  </si>
  <si>
    <t>[0..100%]</t>
  </si>
  <si>
    <t>Paddlespeed - Feeder1</t>
  </si>
  <si>
    <t>Version 1.5</t>
  </si>
  <si>
    <t>Feeder empty start</t>
  </si>
  <si>
    <t>Start empty feeder</t>
  </si>
  <si>
    <t>Empty feeder running</t>
  </si>
  <si>
    <t>1 : Empty feeder is running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</si>
</sst>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name val="Arial"/>
      <family val="2"/>
    </font>
    <font>
      <sz val="10"/>
      <name val="Lohit Devanagari"/>
      <family val="2"/>
    </font>
    <font>
      <b/>
      <sz val="10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sz val="8"/>
      <name val="Arial"/>
      <family val="2"/>
    </font>
    <font>
      <b/>
      <u/>
      <sz val="12"/>
      <name val="Arial"/>
      <family val="2"/>
    </font>
    <font>
      <b/>
      <sz val="20"/>
      <name val="Arial"/>
      <family val="2"/>
    </font>
    <font>
      <sz val="14"/>
      <name val="Arial"/>
      <family val="2"/>
    </font>
    <font>
      <u/>
      <sz val="10"/>
      <color theme="10"/>
      <name val="Arial"/>
      <family val="2"/>
    </font>
    <font>
      <b/>
      <u/>
      <sz val="14"/>
      <name val="Arial"/>
      <family val="2"/>
    </font>
    <font>
      <sz val="10"/>
      <color rgb="FFFF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65"/>
        <bgColor indexed="8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indexed="8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indexed="8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3" fillId="0" borderId="0"/>
    <xf numFmtId="0" fontId="9" fillId="0" borderId="0" applyNumberFormat="0" applyFill="0" applyBorder="0" applyAlignment="0" applyProtection="0"/>
  </cellStyleXfs>
  <cellXfs count="8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0" fillId="0" borderId="0" xfId="0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/>
    <xf numFmtId="0" fontId="6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vertical="top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0" fillId="3" borderId="0" xfId="0" applyFill="1" applyAlignment="1">
      <alignment horizontal="center" vertical="center"/>
    </xf>
    <xf numFmtId="0" fontId="2" fillId="3" borderId="3" xfId="0" applyFont="1" applyFill="1" applyBorder="1" applyAlignment="1">
      <alignment vertical="center"/>
    </xf>
    <xf numFmtId="0" fontId="2" fillId="3" borderId="3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vertical="center"/>
    </xf>
    <xf numFmtId="0" fontId="2" fillId="5" borderId="3" xfId="0" applyFont="1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left"/>
    </xf>
    <xf numFmtId="0" fontId="0" fillId="0" borderId="0" xfId="0" applyAlignment="1">
      <alignment horizontal="left" vertical="top"/>
    </xf>
    <xf numFmtId="0" fontId="3" fillId="0" borderId="0" xfId="0" applyFont="1" applyAlignment="1">
      <alignment horizontal="center" vertical="top"/>
    </xf>
    <xf numFmtId="0" fontId="0" fillId="5" borderId="0" xfId="0" applyFill="1" applyAlignment="1">
      <alignment horizontal="left" vertical="top"/>
    </xf>
    <xf numFmtId="0" fontId="0" fillId="0" borderId="0" xfId="0" applyAlignment="1">
      <alignment horizontal="left"/>
    </xf>
    <xf numFmtId="0" fontId="2" fillId="3" borderId="0" xfId="0" applyFont="1" applyFill="1" applyAlignment="1">
      <alignment horizontal="left"/>
    </xf>
    <xf numFmtId="0" fontId="0" fillId="3" borderId="0" xfId="0" applyFill="1" applyAlignment="1">
      <alignment horizontal="left"/>
    </xf>
    <xf numFmtId="0" fontId="9" fillId="0" borderId="0" xfId="3"/>
    <xf numFmtId="0" fontId="9" fillId="0" borderId="0" xfId="3" applyFill="1"/>
    <xf numFmtId="0" fontId="0" fillId="7" borderId="0" xfId="0" applyFill="1" applyAlignment="1">
      <alignment horizontal="center"/>
    </xf>
    <xf numFmtId="0" fontId="0" fillId="7" borderId="0" xfId="0" applyFill="1" applyAlignment="1">
      <alignment horizontal="left" vertical="top"/>
    </xf>
    <xf numFmtId="0" fontId="0" fillId="8" borderId="0" xfId="0" applyFill="1" applyAlignment="1">
      <alignment horizontal="center" vertical="top"/>
    </xf>
    <xf numFmtId="0" fontId="2" fillId="8" borderId="3" xfId="0" applyFont="1" applyFill="1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3" xfId="0" applyBorder="1"/>
    <xf numFmtId="0" fontId="2" fillId="3" borderId="3" xfId="0" applyFont="1" applyFill="1" applyBorder="1" applyAlignment="1">
      <alignment horizontal="center" vertical="top"/>
    </xf>
    <xf numFmtId="0" fontId="0" fillId="3" borderId="0" xfId="0" applyFill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0" fontId="4" fillId="0" borderId="0" xfId="0" applyFont="1" applyAlignment="1">
      <alignment horizontal="left"/>
    </xf>
    <xf numFmtId="0" fontId="0" fillId="0" borderId="3" xfId="0" applyBorder="1" applyAlignment="1">
      <alignment horizontal="center"/>
    </xf>
    <xf numFmtId="0" fontId="4" fillId="0" borderId="3" xfId="0" applyFont="1" applyBorder="1"/>
    <xf numFmtId="0" fontId="10" fillId="0" borderId="3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0" fillId="0" borderId="3" xfId="0" applyBorder="1" applyAlignment="1">
      <alignment horizontal="center" vertical="center"/>
    </xf>
    <xf numFmtId="0" fontId="10" fillId="0" borderId="3" xfId="0" applyFont="1" applyBorder="1"/>
    <xf numFmtId="0" fontId="2" fillId="0" borderId="3" xfId="0" applyFont="1" applyBorder="1"/>
    <xf numFmtId="0" fontId="2" fillId="0" borderId="3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left" vertical="top"/>
    </xf>
    <xf numFmtId="0" fontId="0" fillId="7" borderId="0" xfId="0" applyFill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2" fillId="3" borderId="0" xfId="0" applyFont="1" applyFill="1" applyAlignment="1">
      <alignment horizontal="left"/>
    </xf>
    <xf numFmtId="0" fontId="0" fillId="3" borderId="0" xfId="0" applyFill="1" applyAlignment="1">
      <alignment horizontal="left"/>
    </xf>
    <xf numFmtId="0" fontId="0" fillId="7" borderId="0" xfId="0" applyFill="1" applyAlignment="1">
      <alignment horizontal="left"/>
    </xf>
    <xf numFmtId="0" fontId="2" fillId="0" borderId="0" xfId="0" applyFont="1" applyAlignment="1">
      <alignment horizontal="left"/>
    </xf>
    <xf numFmtId="0" fontId="2" fillId="0" borderId="3" xfId="0" applyFont="1" applyBorder="1" applyAlignment="1">
      <alignment horizontal="left" vertical="center"/>
    </xf>
    <xf numFmtId="0" fontId="2" fillId="5" borderId="0" xfId="0" applyFont="1" applyFill="1" applyAlignment="1">
      <alignment horizontal="left"/>
    </xf>
    <xf numFmtId="0" fontId="0" fillId="5" borderId="0" xfId="0" applyFill="1" applyAlignment="1">
      <alignment horizontal="left"/>
    </xf>
    <xf numFmtId="0" fontId="0" fillId="0" borderId="4" xfId="0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0" fillId="0" borderId="0" xfId="0" applyAlignment="1">
      <alignment horizontal="center"/>
    </xf>
    <xf numFmtId="0" fontId="3" fillId="5" borderId="0" xfId="0" applyFont="1" applyFill="1" applyAlignment="1">
      <alignment horizontal="left"/>
    </xf>
    <xf numFmtId="0" fontId="4" fillId="0" borderId="3" xfId="0" applyFont="1" applyBorder="1" applyAlignment="1">
      <alignment horizontal="left"/>
    </xf>
    <xf numFmtId="0" fontId="0" fillId="5" borderId="0" xfId="0" applyFill="1" applyAlignment="1">
      <alignment horizontal="center"/>
    </xf>
    <xf numFmtId="0" fontId="2" fillId="0" borderId="1" xfId="0" applyFont="1" applyBorder="1" applyAlignment="1">
      <alignment horizontal="left"/>
    </xf>
    <xf numFmtId="0" fontId="9" fillId="0" borderId="0" xfId="3"/>
    <xf numFmtId="0" fontId="9" fillId="0" borderId="2" xfId="3" applyBorder="1"/>
    <xf numFmtId="0" fontId="9" fillId="0" borderId="0" xfId="3" applyAlignment="1">
      <alignment horizontal="left"/>
    </xf>
    <xf numFmtId="0" fontId="0" fillId="0" borderId="4" xfId="0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0" fillId="0" borderId="0" xfId="0" applyAlignment="1">
      <alignment horizontal="left" vertical="center"/>
    </xf>
    <xf numFmtId="0" fontId="3" fillId="3" borderId="0" xfId="0" applyFont="1" applyFill="1" applyAlignment="1">
      <alignment horizontal="left"/>
    </xf>
    <xf numFmtId="0" fontId="0" fillId="3" borderId="0" xfId="0" applyFill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0" fontId="0" fillId="9" borderId="0" xfId="0" applyFill="1" applyAlignment="1">
      <alignment horizontal="left"/>
    </xf>
    <xf numFmtId="0" fontId="3" fillId="9" borderId="0" xfId="0" applyFont="1" applyFill="1" applyAlignment="1">
      <alignment horizontal="center" vertical="center"/>
    </xf>
    <xf numFmtId="0" fontId="0" fillId="9" borderId="0" xfId="0" applyFill="1" applyAlignment="1">
      <alignment horizontal="center"/>
    </xf>
    <xf numFmtId="0" fontId="0" fillId="9" borderId="0" xfId="0" applyFill="1" applyAlignment="1">
      <alignment horizontal="left" vertical="top"/>
    </xf>
    <xf numFmtId="0" fontId="0" fillId="9" borderId="0" xfId="0" applyFill="1"/>
    <xf numFmtId="0" fontId="0" fillId="9" borderId="0" xfId="0" applyFill="1" applyAlignment="1">
      <alignment horizontal="left" vertical="top"/>
    </xf>
    <xf numFmtId="0" fontId="3" fillId="9" borderId="0" xfId="0" applyFont="1" applyFill="1" applyAlignment="1">
      <alignment horizontal="left" vertical="center"/>
    </xf>
  </cellXfs>
  <cellStyles count="4">
    <cellStyle name="Link" xfId="3" builtinId="8"/>
    <cellStyle name="Standaard 2" xfId="2" xr:uid="{BE604561-5914-4552-973E-91D40814A912}"/>
    <cellStyle name="Standard" xfId="0" builtinId="0"/>
    <cellStyle name="Überschrift" xfId="1" builtinId="15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4C4C4C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540</xdr:row>
      <xdr:rowOff>0</xdr:rowOff>
    </xdr:from>
    <xdr:to>
      <xdr:col>6</xdr:col>
      <xdr:colOff>733425</xdr:colOff>
      <xdr:row>542</xdr:row>
      <xdr:rowOff>38100</xdr:rowOff>
    </xdr:to>
    <xdr:pic>
      <xdr:nvPicPr>
        <xdr:cNvPr id="12" name="Grafik 11">
          <a:extLst>
            <a:ext uri="{FF2B5EF4-FFF2-40B4-BE49-F238E27FC236}">
              <a16:creationId xmlns:a16="http://schemas.microsoft.com/office/drawing/2014/main" id="{45311C3F-D3D4-42BE-AABD-77FBA554C6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783650"/>
          <a:ext cx="5362575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544</xdr:row>
      <xdr:rowOff>0</xdr:rowOff>
    </xdr:from>
    <xdr:to>
      <xdr:col>2</xdr:col>
      <xdr:colOff>209550</xdr:colOff>
      <xdr:row>546</xdr:row>
      <xdr:rowOff>38100</xdr:rowOff>
    </xdr:to>
    <xdr:pic>
      <xdr:nvPicPr>
        <xdr:cNvPr id="14" name="Grafik 13">
          <a:extLst>
            <a:ext uri="{FF2B5EF4-FFF2-40B4-BE49-F238E27FC236}">
              <a16:creationId xmlns:a16="http://schemas.microsoft.com/office/drawing/2014/main" id="{C0886F1B-1DD1-4029-B86F-C55A082B2C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8431350"/>
          <a:ext cx="17526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553</xdr:row>
      <xdr:rowOff>0</xdr:rowOff>
    </xdr:from>
    <xdr:to>
      <xdr:col>1</xdr:col>
      <xdr:colOff>752475</xdr:colOff>
      <xdr:row>555</xdr:row>
      <xdr:rowOff>38100</xdr:rowOff>
    </xdr:to>
    <xdr:pic>
      <xdr:nvPicPr>
        <xdr:cNvPr id="15" name="Grafik 14">
          <a:extLst>
            <a:ext uri="{FF2B5EF4-FFF2-40B4-BE49-F238E27FC236}">
              <a16:creationId xmlns:a16="http://schemas.microsoft.com/office/drawing/2014/main" id="{615920AC-561C-46E9-B65C-F2E9B701DF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926775"/>
          <a:ext cx="1524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7:G551"/>
  <sheetViews>
    <sheetView tabSelected="1" zoomScaleNormal="100" workbookViewId="0">
      <selection activeCell="H214" sqref="H214"/>
    </sheetView>
  </sheetViews>
  <sheetFormatPr baseColWidth="10" defaultColWidth="11.5703125" defaultRowHeight="12.75" outlineLevelRow="1"/>
  <cols>
    <col min="3" max="6" width="11.5703125" style="1"/>
  </cols>
  <sheetData>
    <row r="7" spans="1:7" s="13" customFormat="1" ht="26.25">
      <c r="A7" s="79" t="s">
        <v>135</v>
      </c>
      <c r="B7" s="79"/>
      <c r="C7" s="79"/>
      <c r="D7" s="79"/>
      <c r="E7" s="79"/>
      <c r="F7" s="79"/>
      <c r="G7" s="79"/>
    </row>
    <row r="11" spans="1:7" ht="24" customHeight="1">
      <c r="A11" s="79" t="s">
        <v>136</v>
      </c>
      <c r="B11" s="79"/>
      <c r="C11" s="79"/>
      <c r="D11" s="79"/>
      <c r="E11" s="79"/>
      <c r="F11" s="79"/>
      <c r="G11" s="79"/>
    </row>
    <row r="15" spans="1:7" ht="13.5" thickBot="1">
      <c r="A15" s="70" t="s">
        <v>0</v>
      </c>
      <c r="B15" s="70"/>
      <c r="C15" s="70"/>
      <c r="D15" s="3" t="s">
        <v>1</v>
      </c>
    </row>
    <row r="16" spans="1:7">
      <c r="A16" s="72" t="s">
        <v>100</v>
      </c>
      <c r="B16" s="72"/>
      <c r="C16" s="72"/>
      <c r="D16" s="1">
        <v>6010</v>
      </c>
    </row>
    <row r="17" spans="1:4">
      <c r="A17" s="71" t="s">
        <v>101</v>
      </c>
      <c r="B17" s="71"/>
      <c r="C17" s="71"/>
      <c r="D17" s="1">
        <v>6011</v>
      </c>
    </row>
    <row r="18" spans="1:4">
      <c r="A18" s="73" t="s">
        <v>99</v>
      </c>
      <c r="B18" s="73"/>
      <c r="C18" s="73"/>
      <c r="D18" s="1">
        <v>6012</v>
      </c>
    </row>
    <row r="19" spans="1:4">
      <c r="A19" s="73" t="s">
        <v>170</v>
      </c>
      <c r="B19" s="73"/>
      <c r="C19" s="73"/>
      <c r="D19" s="1">
        <v>6012</v>
      </c>
    </row>
    <row r="20" spans="1:4">
      <c r="A20" s="71" t="s">
        <v>102</v>
      </c>
      <c r="B20" s="71"/>
      <c r="C20" s="71"/>
      <c r="D20" s="1">
        <v>6020</v>
      </c>
    </row>
    <row r="21" spans="1:4">
      <c r="A21" s="71" t="s">
        <v>103</v>
      </c>
      <c r="B21" s="71"/>
      <c r="C21" s="71"/>
      <c r="D21" s="1">
        <v>6021</v>
      </c>
    </row>
    <row r="22" spans="1:4">
      <c r="A22" s="71" t="s">
        <v>104</v>
      </c>
      <c r="B22" s="71"/>
      <c r="C22" s="71"/>
      <c r="D22" s="1">
        <v>6022</v>
      </c>
    </row>
    <row r="23" spans="1:4">
      <c r="A23" s="32" t="s">
        <v>183</v>
      </c>
      <c r="D23" s="1">
        <v>6022</v>
      </c>
    </row>
    <row r="24" spans="1:4">
      <c r="A24" s="71" t="s">
        <v>184</v>
      </c>
      <c r="B24" s="71"/>
      <c r="C24" s="71"/>
      <c r="D24" s="1">
        <v>6030</v>
      </c>
    </row>
    <row r="25" spans="1:4">
      <c r="A25" s="31" t="s">
        <v>173</v>
      </c>
      <c r="D25" s="1">
        <v>6030</v>
      </c>
    </row>
    <row r="26" spans="1:4">
      <c r="A26" s="32" t="s">
        <v>174</v>
      </c>
      <c r="D26" s="1">
        <v>6030</v>
      </c>
    </row>
    <row r="29" spans="1:4">
      <c r="A29" s="32" t="s">
        <v>191</v>
      </c>
    </row>
    <row r="30" spans="1:4">
      <c r="A30" s="32" t="s">
        <v>192</v>
      </c>
    </row>
    <row r="37" spans="1:7" ht="18">
      <c r="A37" s="80" t="s">
        <v>200</v>
      </c>
      <c r="B37" s="80"/>
      <c r="C37" s="80"/>
      <c r="D37" s="80"/>
      <c r="E37" s="80"/>
      <c r="F37" s="80"/>
      <c r="G37" s="80"/>
    </row>
    <row r="40" spans="1:7">
      <c r="A40" s="81">
        <v>45007</v>
      </c>
      <c r="B40" s="81"/>
      <c r="C40" s="81"/>
      <c r="D40" s="81"/>
      <c r="E40" s="81"/>
      <c r="F40" s="81"/>
      <c r="G40" s="81"/>
    </row>
    <row r="41" spans="1:7" ht="12.75" customHeight="1"/>
    <row r="42" spans="1:7" ht="12.75" customHeight="1"/>
    <row r="44" spans="1:7" s="38" customFormat="1" ht="18">
      <c r="A44" s="68" t="str">
        <f>A16</f>
        <v>1. PC-&gt;S7  : Analog general values</v>
      </c>
      <c r="B44" s="68"/>
      <c r="C44" s="68"/>
      <c r="D44" s="68"/>
      <c r="E44" s="68"/>
      <c r="F44" s="43"/>
    </row>
    <row r="45" spans="1:7" ht="18">
      <c r="A45" s="42"/>
      <c r="B45" s="42"/>
      <c r="C45" s="42"/>
      <c r="D45" s="42"/>
      <c r="E45" s="42"/>
    </row>
    <row r="46" spans="1:7" s="4" customFormat="1" ht="12.75" customHeight="1">
      <c r="A46" s="7"/>
      <c r="C46" s="2"/>
      <c r="D46" s="2"/>
      <c r="E46" s="2"/>
      <c r="F46" s="2"/>
    </row>
    <row r="47" spans="1:7" s="4" customFormat="1" ht="12.75" customHeight="1">
      <c r="A47" s="17" t="s">
        <v>0</v>
      </c>
      <c r="B47" s="17"/>
      <c r="C47" s="18" t="s">
        <v>1</v>
      </c>
      <c r="D47" s="18" t="s">
        <v>5</v>
      </c>
      <c r="E47" s="18" t="s">
        <v>3</v>
      </c>
      <c r="F47" s="18" t="s">
        <v>4</v>
      </c>
      <c r="G47" s="36" t="s">
        <v>188</v>
      </c>
    </row>
    <row r="48" spans="1:7" s="4" customFormat="1" ht="12.75" customHeight="1">
      <c r="A48" s="61" t="s">
        <v>187</v>
      </c>
      <c r="B48" s="61"/>
      <c r="C48" s="21">
        <f>D16</f>
        <v>6010</v>
      </c>
      <c r="D48" s="19">
        <v>0</v>
      </c>
      <c r="E48" s="19">
        <v>4</v>
      </c>
      <c r="F48" s="19" t="s">
        <v>134</v>
      </c>
      <c r="G48" s="35" t="s">
        <v>189</v>
      </c>
    </row>
    <row r="49" spans="1:7" s="4" customFormat="1" ht="12.75" customHeight="1" outlineLevel="1">
      <c r="A49" s="69" t="s">
        <v>18</v>
      </c>
      <c r="B49" s="69"/>
      <c r="C49" s="69"/>
      <c r="D49" s="69"/>
      <c r="E49" s="69"/>
      <c r="F49" s="69"/>
      <c r="G49" s="35"/>
    </row>
    <row r="50" spans="1:7" s="4" customFormat="1" ht="12.75" customHeight="1" outlineLevel="1">
      <c r="A50" s="62" t="s">
        <v>6</v>
      </c>
      <c r="B50" s="67"/>
      <c r="C50" s="21">
        <f>D16</f>
        <v>6010</v>
      </c>
      <c r="D50" s="19">
        <f>(8*E48)</f>
        <v>32</v>
      </c>
      <c r="E50" s="19">
        <v>4</v>
      </c>
      <c r="F50" s="19" t="s">
        <v>134</v>
      </c>
      <c r="G50" s="35" t="s">
        <v>189</v>
      </c>
    </row>
    <row r="51" spans="1:7" s="4" customFormat="1" ht="12.75" customHeight="1" outlineLevel="1">
      <c r="A51" s="62" t="s">
        <v>7</v>
      </c>
      <c r="B51" s="67"/>
      <c r="C51" s="21">
        <f>D16</f>
        <v>6010</v>
      </c>
      <c r="D51" s="19">
        <f>D50+E50</f>
        <v>36</v>
      </c>
      <c r="E51" s="19">
        <v>4</v>
      </c>
      <c r="F51" s="19" t="s">
        <v>134</v>
      </c>
      <c r="G51" s="35" t="s">
        <v>189</v>
      </c>
    </row>
    <row r="52" spans="1:7" s="4" customFormat="1" ht="12.75" customHeight="1">
      <c r="A52" s="8"/>
      <c r="B52" s="8"/>
      <c r="C52" s="2"/>
      <c r="D52" s="2"/>
      <c r="E52" s="2"/>
      <c r="F52" s="2"/>
    </row>
    <row r="53" spans="1:7" s="4" customFormat="1" ht="12.75" customHeight="1">
      <c r="A53" s="8"/>
      <c r="B53" s="8"/>
      <c r="C53" s="2"/>
      <c r="D53" s="2"/>
      <c r="E53" s="2"/>
      <c r="F53" s="2"/>
    </row>
    <row r="54" spans="1:7" s="4" customFormat="1" ht="12.75" customHeight="1">
      <c r="A54" s="17" t="s">
        <v>0</v>
      </c>
      <c r="B54" s="17"/>
      <c r="C54" s="18" t="s">
        <v>1</v>
      </c>
      <c r="D54" s="18" t="s">
        <v>5</v>
      </c>
      <c r="E54" s="18" t="s">
        <v>3</v>
      </c>
      <c r="F54" s="18" t="s">
        <v>4</v>
      </c>
      <c r="G54" s="36" t="s">
        <v>188</v>
      </c>
    </row>
    <row r="55" spans="1:7" s="4" customFormat="1" ht="12.75" customHeight="1">
      <c r="A55" s="61" t="s">
        <v>19</v>
      </c>
      <c r="B55" s="61"/>
      <c r="C55" s="19">
        <f>D16</f>
        <v>6010</v>
      </c>
      <c r="D55" s="19">
        <f>D51+E51</f>
        <v>40</v>
      </c>
      <c r="E55" s="19">
        <v>4</v>
      </c>
      <c r="F55" s="19" t="s">
        <v>134</v>
      </c>
      <c r="G55" s="35" t="s">
        <v>190</v>
      </c>
    </row>
    <row r="56" spans="1:7" s="4" customFormat="1" ht="12.75" customHeight="1" outlineLevel="1">
      <c r="A56" s="69" t="s">
        <v>18</v>
      </c>
      <c r="B56" s="69"/>
      <c r="C56" s="69"/>
      <c r="D56" s="69"/>
      <c r="E56" s="69"/>
      <c r="F56" s="69"/>
      <c r="G56" s="35"/>
    </row>
    <row r="57" spans="1:7" s="4" customFormat="1" ht="12.75" customHeight="1" outlineLevel="1">
      <c r="A57" s="62" t="s">
        <v>8</v>
      </c>
      <c r="B57" s="62"/>
      <c r="C57" s="19">
        <f>D16</f>
        <v>6010</v>
      </c>
      <c r="D57" s="19">
        <f>D55+8*E55</f>
        <v>72</v>
      </c>
      <c r="E57" s="19">
        <v>4</v>
      </c>
      <c r="F57" s="19" t="s">
        <v>134</v>
      </c>
      <c r="G57" s="35" t="s">
        <v>190</v>
      </c>
    </row>
    <row r="58" spans="1:7" s="4" customFormat="1" ht="12.75" customHeight="1" outlineLevel="1">
      <c r="A58" s="62" t="s">
        <v>9</v>
      </c>
      <c r="B58" s="62"/>
      <c r="C58" s="19">
        <f>D16</f>
        <v>6010</v>
      </c>
      <c r="D58" s="19">
        <f>D57+E57</f>
        <v>76</v>
      </c>
      <c r="E58" s="19">
        <v>4</v>
      </c>
      <c r="F58" s="19" t="s">
        <v>134</v>
      </c>
      <c r="G58" s="35" t="s">
        <v>190</v>
      </c>
    </row>
    <row r="59" spans="1:7" s="4" customFormat="1" ht="12.75" customHeight="1">
      <c r="A59" s="8"/>
      <c r="B59" s="8"/>
      <c r="C59" s="2"/>
      <c r="D59" s="2"/>
      <c r="E59" s="2"/>
      <c r="F59" s="2"/>
    </row>
    <row r="60" spans="1:7" s="4" customFormat="1" ht="12.75" customHeight="1">
      <c r="A60" s="8"/>
      <c r="B60" s="8"/>
      <c r="C60" s="2"/>
      <c r="D60" s="2"/>
      <c r="E60" s="2"/>
      <c r="F60" s="2"/>
    </row>
    <row r="61" spans="1:7" s="4" customFormat="1" ht="12.75" customHeight="1">
      <c r="A61" s="17" t="s">
        <v>0</v>
      </c>
      <c r="B61" s="17"/>
      <c r="C61" s="18" t="s">
        <v>1</v>
      </c>
      <c r="D61" s="18" t="s">
        <v>2</v>
      </c>
      <c r="E61" s="18" t="s">
        <v>3</v>
      </c>
      <c r="F61" s="18" t="s">
        <v>4</v>
      </c>
      <c r="G61" s="36" t="s">
        <v>188</v>
      </c>
    </row>
    <row r="62" spans="1:7" s="4" customFormat="1" ht="12.75" customHeight="1">
      <c r="A62" s="62" t="s">
        <v>20</v>
      </c>
      <c r="B62" s="67"/>
      <c r="C62" s="19">
        <f>D16</f>
        <v>6010</v>
      </c>
      <c r="D62" s="19">
        <f>D58+E58</f>
        <v>80</v>
      </c>
      <c r="E62" s="19">
        <v>4</v>
      </c>
      <c r="F62" s="19" t="s">
        <v>134</v>
      </c>
      <c r="G62" s="35" t="s">
        <v>190</v>
      </c>
    </row>
    <row r="63" spans="1:7" s="4" customFormat="1" ht="12.75" customHeight="1" outlineLevel="1">
      <c r="A63" s="69" t="s">
        <v>18</v>
      </c>
      <c r="B63" s="69"/>
      <c r="C63" s="69"/>
      <c r="D63" s="69"/>
      <c r="E63" s="69"/>
      <c r="F63" s="69"/>
      <c r="G63" s="35"/>
    </row>
    <row r="64" spans="1:7" s="4" customFormat="1" ht="12.75" customHeight="1" outlineLevel="1">
      <c r="A64" s="62" t="s">
        <v>10</v>
      </c>
      <c r="B64" s="67"/>
      <c r="C64" s="19">
        <f>D16</f>
        <v>6010</v>
      </c>
      <c r="D64" s="19">
        <f>D62+8*E62</f>
        <v>112</v>
      </c>
      <c r="E64" s="19">
        <v>4</v>
      </c>
      <c r="F64" s="19" t="s">
        <v>134</v>
      </c>
      <c r="G64" s="35" t="s">
        <v>190</v>
      </c>
    </row>
    <row r="65" spans="1:7" s="4" customFormat="1" ht="12.75" customHeight="1" outlineLevel="1">
      <c r="A65" s="62" t="s">
        <v>11</v>
      </c>
      <c r="B65" s="67"/>
      <c r="C65" s="19">
        <f>D16</f>
        <v>6010</v>
      </c>
      <c r="D65" s="19">
        <f>D64+E65</f>
        <v>116</v>
      </c>
      <c r="E65" s="19">
        <v>4</v>
      </c>
      <c r="F65" s="19" t="s">
        <v>134</v>
      </c>
      <c r="G65" s="35" t="s">
        <v>190</v>
      </c>
    </row>
    <row r="70" spans="1:7" s="38" customFormat="1" ht="18">
      <c r="A70" s="68" t="str">
        <f>A17</f>
        <v>2. PC-&gt;S7 : Analog special values</v>
      </c>
      <c r="B70" s="68"/>
      <c r="C70" s="68"/>
      <c r="D70" s="68"/>
      <c r="E70" s="68"/>
      <c r="F70" s="43"/>
    </row>
    <row r="71" spans="1:7">
      <c r="A71" s="7"/>
      <c r="B71" s="4"/>
      <c r="C71" s="2"/>
      <c r="D71" s="2"/>
      <c r="E71" s="2"/>
      <c r="F71" s="2"/>
    </row>
    <row r="72" spans="1:7">
      <c r="A72" s="7"/>
      <c r="B72" s="4"/>
      <c r="C72" s="2"/>
      <c r="D72" s="2"/>
      <c r="E72" s="2"/>
      <c r="F72" s="2"/>
    </row>
    <row r="73" spans="1:7">
      <c r="A73" s="5" t="s">
        <v>0</v>
      </c>
      <c r="B73" s="5"/>
      <c r="C73" s="6" t="s">
        <v>1</v>
      </c>
      <c r="D73" s="6" t="s">
        <v>5</v>
      </c>
      <c r="E73" s="6" t="s">
        <v>3</v>
      </c>
      <c r="F73" s="6" t="s">
        <v>4</v>
      </c>
    </row>
    <row r="74" spans="1:7">
      <c r="A74" s="54" t="s">
        <v>21</v>
      </c>
      <c r="B74" s="65"/>
      <c r="C74" s="22">
        <f>D17</f>
        <v>6011</v>
      </c>
      <c r="D74" s="2">
        <v>0</v>
      </c>
      <c r="E74" s="2">
        <v>4</v>
      </c>
      <c r="F74" s="2" t="s">
        <v>134</v>
      </c>
    </row>
    <row r="75" spans="1:7">
      <c r="A75" s="66" t="s">
        <v>18</v>
      </c>
      <c r="B75" s="66"/>
      <c r="C75" s="66"/>
      <c r="D75" s="66"/>
      <c r="E75" s="66"/>
      <c r="F75" s="66"/>
    </row>
    <row r="76" spans="1:7">
      <c r="A76" s="54" t="s">
        <v>12</v>
      </c>
      <c r="B76" s="65"/>
      <c r="C76" s="22">
        <f>D17</f>
        <v>6011</v>
      </c>
      <c r="D76" s="2">
        <f>D74+8*E74</f>
        <v>32</v>
      </c>
      <c r="E76" s="2">
        <v>4</v>
      </c>
      <c r="F76" s="2" t="s">
        <v>134</v>
      </c>
    </row>
    <row r="77" spans="1:7">
      <c r="A77" s="54" t="s">
        <v>13</v>
      </c>
      <c r="B77" s="65"/>
      <c r="C77" s="22">
        <f>D17</f>
        <v>6011</v>
      </c>
      <c r="D77" s="2">
        <f>D76+E76</f>
        <v>36</v>
      </c>
      <c r="E77" s="2">
        <v>4</v>
      </c>
      <c r="F77" s="2" t="s">
        <v>134</v>
      </c>
    </row>
    <row r="78" spans="1:7">
      <c r="A78" s="8"/>
      <c r="B78" s="8"/>
      <c r="C78" s="2"/>
      <c r="D78" s="2"/>
      <c r="E78" s="2"/>
      <c r="F78" s="2"/>
    </row>
    <row r="79" spans="1:7">
      <c r="A79" s="8"/>
      <c r="B79" s="8"/>
      <c r="C79" s="2"/>
      <c r="D79" s="2"/>
      <c r="E79" s="2"/>
      <c r="F79" s="2"/>
    </row>
    <row r="80" spans="1:7" outlineLevel="1">
      <c r="A80" s="5" t="s">
        <v>0</v>
      </c>
      <c r="B80" s="5"/>
      <c r="C80" s="6" t="s">
        <v>1</v>
      </c>
      <c r="D80" s="6" t="s">
        <v>5</v>
      </c>
      <c r="E80" s="6" t="s">
        <v>3</v>
      </c>
      <c r="F80" s="6" t="s">
        <v>4</v>
      </c>
    </row>
    <row r="81" spans="1:7" outlineLevel="1">
      <c r="A81" s="59" t="s">
        <v>199</v>
      </c>
      <c r="B81" s="54"/>
      <c r="C81" s="2">
        <f>D17</f>
        <v>6011</v>
      </c>
      <c r="D81" s="2">
        <f>D77+E77</f>
        <v>40</v>
      </c>
      <c r="E81" s="2">
        <v>4</v>
      </c>
      <c r="F81" s="2" t="s">
        <v>134</v>
      </c>
      <c r="G81" s="37" t="s">
        <v>198</v>
      </c>
    </row>
    <row r="82" spans="1:7" outlineLevel="1">
      <c r="A82" s="66" t="s">
        <v>18</v>
      </c>
      <c r="B82" s="66"/>
      <c r="C82" s="66"/>
      <c r="D82" s="66"/>
      <c r="E82" s="66"/>
      <c r="F82" s="66"/>
    </row>
    <row r="83" spans="1:7" outlineLevel="1">
      <c r="A83" s="54" t="s">
        <v>196</v>
      </c>
      <c r="B83" s="54"/>
      <c r="C83" s="2">
        <f>D17</f>
        <v>6011</v>
      </c>
      <c r="D83" s="2">
        <f>D81+8*E81</f>
        <v>72</v>
      </c>
      <c r="E83" s="2">
        <v>4</v>
      </c>
      <c r="F83" s="2" t="s">
        <v>134</v>
      </c>
      <c r="G83" s="37" t="s">
        <v>198</v>
      </c>
    </row>
    <row r="84" spans="1:7" outlineLevel="1">
      <c r="A84" s="54" t="s">
        <v>197</v>
      </c>
      <c r="B84" s="54"/>
      <c r="C84" s="2">
        <f>D17</f>
        <v>6011</v>
      </c>
      <c r="D84" s="2">
        <f>D83+E83</f>
        <v>76</v>
      </c>
      <c r="E84" s="2">
        <v>4</v>
      </c>
      <c r="F84" s="2" t="s">
        <v>134</v>
      </c>
      <c r="G84" s="37" t="s">
        <v>198</v>
      </c>
    </row>
    <row r="85" spans="1:7">
      <c r="A85" s="8"/>
      <c r="B85" s="8"/>
      <c r="C85" s="2"/>
      <c r="D85" s="2"/>
      <c r="E85" s="2"/>
      <c r="F85" s="2"/>
    </row>
    <row r="86" spans="1:7">
      <c r="A86" s="8"/>
      <c r="B86" s="8"/>
      <c r="C86" s="2"/>
      <c r="D86" s="2"/>
      <c r="E86" s="2"/>
      <c r="F86" s="2"/>
    </row>
    <row r="87" spans="1:7">
      <c r="A87" s="5" t="s">
        <v>0</v>
      </c>
      <c r="B87" s="5"/>
      <c r="C87" s="6" t="s">
        <v>1</v>
      </c>
      <c r="D87" s="6" t="s">
        <v>2</v>
      </c>
      <c r="E87" s="6" t="s">
        <v>3</v>
      </c>
      <c r="F87" s="6" t="s">
        <v>4</v>
      </c>
      <c r="G87" s="38"/>
    </row>
    <row r="88" spans="1:7">
      <c r="A88" s="54" t="s">
        <v>23</v>
      </c>
      <c r="B88" s="65"/>
      <c r="C88" s="2">
        <f>D17</f>
        <v>6011</v>
      </c>
      <c r="D88" s="2">
        <f>D84+E84</f>
        <v>80</v>
      </c>
      <c r="E88" s="2">
        <v>4</v>
      </c>
      <c r="F88" s="2" t="s">
        <v>134</v>
      </c>
      <c r="G88" s="37" t="s">
        <v>189</v>
      </c>
    </row>
    <row r="89" spans="1:7">
      <c r="A89" s="66" t="s">
        <v>18</v>
      </c>
      <c r="B89" s="66"/>
      <c r="C89" s="66"/>
      <c r="D89" s="66"/>
      <c r="E89" s="66"/>
      <c r="F89" s="66"/>
      <c r="G89" s="37"/>
    </row>
    <row r="90" spans="1:7">
      <c r="A90" s="54" t="s">
        <v>16</v>
      </c>
      <c r="B90" s="65"/>
      <c r="C90" s="2">
        <f>D17</f>
        <v>6011</v>
      </c>
      <c r="D90" s="2">
        <f>D88+8*E88</f>
        <v>112</v>
      </c>
      <c r="E90" s="2">
        <v>4</v>
      </c>
      <c r="F90" s="2" t="s">
        <v>134</v>
      </c>
      <c r="G90" s="37" t="s">
        <v>189</v>
      </c>
    </row>
    <row r="91" spans="1:7">
      <c r="A91" s="54" t="s">
        <v>17</v>
      </c>
      <c r="B91" s="65"/>
      <c r="C91" s="2">
        <f>D17</f>
        <v>6011</v>
      </c>
      <c r="D91" s="2">
        <f>D90+E90</f>
        <v>116</v>
      </c>
      <c r="E91" s="2">
        <v>4</v>
      </c>
      <c r="F91" s="2" t="s">
        <v>134</v>
      </c>
      <c r="G91" s="37" t="s">
        <v>189</v>
      </c>
    </row>
    <row r="94" spans="1:7" outlineLevel="1">
      <c r="A94" s="5" t="s">
        <v>0</v>
      </c>
      <c r="B94" s="5"/>
      <c r="C94" s="6" t="s">
        <v>1</v>
      </c>
      <c r="D94" s="6" t="s">
        <v>5</v>
      </c>
      <c r="E94" s="6" t="s">
        <v>3</v>
      </c>
      <c r="F94" s="6" t="s">
        <v>4</v>
      </c>
    </row>
    <row r="95" spans="1:7" outlineLevel="1">
      <c r="A95" s="54" t="s">
        <v>22</v>
      </c>
      <c r="B95" s="54"/>
      <c r="C95" s="2">
        <f>D17</f>
        <v>6011</v>
      </c>
      <c r="D95" s="2">
        <f>D91+E91</f>
        <v>120</v>
      </c>
      <c r="E95" s="2">
        <v>4</v>
      </c>
      <c r="F95" s="2" t="s">
        <v>134</v>
      </c>
    </row>
    <row r="96" spans="1:7" outlineLevel="1">
      <c r="A96" s="66" t="s">
        <v>18</v>
      </c>
      <c r="B96" s="66"/>
      <c r="C96" s="66"/>
      <c r="D96" s="66"/>
      <c r="E96" s="66"/>
      <c r="F96" s="66"/>
    </row>
    <row r="97" spans="1:6" outlineLevel="1">
      <c r="A97" s="54" t="s">
        <v>14</v>
      </c>
      <c r="B97" s="54"/>
      <c r="C97" s="2">
        <f>D17</f>
        <v>6011</v>
      </c>
      <c r="D97" s="1">
        <f>D95+8*E95</f>
        <v>152</v>
      </c>
      <c r="E97" s="2">
        <v>4</v>
      </c>
      <c r="F97" s="2" t="s">
        <v>134</v>
      </c>
    </row>
    <row r="98" spans="1:6" outlineLevel="1">
      <c r="A98" s="54" t="s">
        <v>15</v>
      </c>
      <c r="B98" s="54"/>
      <c r="C98" s="2">
        <f>D17</f>
        <v>6011</v>
      </c>
      <c r="D98" s="2">
        <f>D97+E97</f>
        <v>156</v>
      </c>
      <c r="E98" s="2">
        <v>4</v>
      </c>
      <c r="F98" s="2" t="s">
        <v>134</v>
      </c>
    </row>
    <row r="99" spans="1:6">
      <c r="A99" s="28"/>
      <c r="B99" s="28"/>
      <c r="C99" s="2"/>
      <c r="D99" s="2"/>
      <c r="E99" s="2"/>
      <c r="F99" s="2"/>
    </row>
    <row r="100" spans="1:6">
      <c r="A100" s="28"/>
      <c r="B100" s="28"/>
      <c r="C100" s="2"/>
      <c r="D100" s="2"/>
      <c r="E100" s="2"/>
      <c r="F100" s="2"/>
    </row>
    <row r="101" spans="1:6">
      <c r="A101" s="5" t="s">
        <v>0</v>
      </c>
      <c r="B101" s="5"/>
      <c r="C101" s="6" t="s">
        <v>1</v>
      </c>
      <c r="D101" s="6" t="s">
        <v>5</v>
      </c>
      <c r="E101" s="6" t="s">
        <v>3</v>
      </c>
      <c r="F101" s="6" t="s">
        <v>4</v>
      </c>
    </row>
    <row r="102" spans="1:6">
      <c r="A102" s="54" t="s">
        <v>137</v>
      </c>
      <c r="B102" s="54"/>
      <c r="C102" s="2">
        <f>D17</f>
        <v>6011</v>
      </c>
      <c r="D102" s="2">
        <f>D98+E98</f>
        <v>160</v>
      </c>
      <c r="E102" s="2">
        <v>4</v>
      </c>
      <c r="F102" s="2" t="s">
        <v>134</v>
      </c>
    </row>
    <row r="103" spans="1:6">
      <c r="A103" s="66" t="s">
        <v>18</v>
      </c>
      <c r="B103" s="66"/>
      <c r="C103" s="66"/>
      <c r="D103" s="66"/>
      <c r="E103" s="66"/>
      <c r="F103" s="66"/>
    </row>
    <row r="104" spans="1:6">
      <c r="A104" s="54" t="s">
        <v>24</v>
      </c>
      <c r="B104" s="54"/>
      <c r="C104" s="2">
        <f>D17</f>
        <v>6011</v>
      </c>
      <c r="D104" s="2">
        <f>D102+8*E102</f>
        <v>192</v>
      </c>
      <c r="E104" s="2">
        <v>4</v>
      </c>
      <c r="F104" s="2" t="s">
        <v>134</v>
      </c>
    </row>
    <row r="105" spans="1:6">
      <c r="A105" s="54" t="s">
        <v>25</v>
      </c>
      <c r="B105" s="54"/>
      <c r="C105" s="2">
        <f>D17</f>
        <v>6011</v>
      </c>
      <c r="D105" s="2">
        <f>D104+E104</f>
        <v>196</v>
      </c>
      <c r="E105" s="2">
        <v>4</v>
      </c>
      <c r="F105" s="2" t="s">
        <v>134</v>
      </c>
    </row>
    <row r="108" spans="1:6">
      <c r="A108" s="5" t="s">
        <v>0</v>
      </c>
      <c r="B108" s="5"/>
      <c r="C108" s="6" t="s">
        <v>1</v>
      </c>
      <c r="D108" s="6" t="s">
        <v>5</v>
      </c>
      <c r="E108" s="6" t="s">
        <v>3</v>
      </c>
      <c r="F108" s="6" t="s">
        <v>4</v>
      </c>
    </row>
    <row r="109" spans="1:6">
      <c r="A109" s="54" t="s">
        <v>26</v>
      </c>
      <c r="B109" s="65"/>
      <c r="C109" s="22">
        <f>D17</f>
        <v>6011</v>
      </c>
      <c r="D109" s="2">
        <f>D105+E105</f>
        <v>200</v>
      </c>
      <c r="E109" s="2">
        <v>4</v>
      </c>
      <c r="F109" s="2" t="s">
        <v>134</v>
      </c>
    </row>
    <row r="110" spans="1:6">
      <c r="A110" s="66" t="s">
        <v>18</v>
      </c>
      <c r="B110" s="66"/>
      <c r="C110" s="66"/>
      <c r="D110" s="66"/>
      <c r="E110" s="66"/>
      <c r="F110" s="66"/>
    </row>
    <row r="111" spans="1:6">
      <c r="A111" s="54" t="s">
        <v>27</v>
      </c>
      <c r="B111" s="65"/>
      <c r="C111" s="22">
        <f>D17</f>
        <v>6011</v>
      </c>
      <c r="D111" s="2">
        <f>D109+8*E109</f>
        <v>232</v>
      </c>
      <c r="E111" s="2">
        <v>4</v>
      </c>
      <c r="F111" s="2" t="s">
        <v>134</v>
      </c>
    </row>
    <row r="112" spans="1:6">
      <c r="A112" s="54" t="s">
        <v>28</v>
      </c>
      <c r="B112" s="65"/>
      <c r="C112" s="22">
        <f>D17</f>
        <v>6011</v>
      </c>
      <c r="D112" s="2">
        <f>D111+E111</f>
        <v>236</v>
      </c>
      <c r="E112" s="2">
        <v>4</v>
      </c>
      <c r="F112" s="2" t="s">
        <v>134</v>
      </c>
    </row>
    <row r="115" spans="1:7">
      <c r="A115" s="5" t="s">
        <v>0</v>
      </c>
      <c r="B115" s="5"/>
      <c r="C115" s="6" t="s">
        <v>1</v>
      </c>
      <c r="D115" s="6" t="s">
        <v>5</v>
      </c>
      <c r="E115" s="6" t="s">
        <v>3</v>
      </c>
      <c r="F115" s="6" t="s">
        <v>4</v>
      </c>
      <c r="G115" s="38"/>
    </row>
    <row r="116" spans="1:7">
      <c r="A116" s="54" t="s">
        <v>31</v>
      </c>
      <c r="B116" s="65"/>
      <c r="C116" s="22">
        <f>D17</f>
        <v>6011</v>
      </c>
      <c r="D116" s="2">
        <f>D112+E112</f>
        <v>240</v>
      </c>
      <c r="E116" s="2">
        <v>4</v>
      </c>
      <c r="F116" s="2" t="s">
        <v>134</v>
      </c>
      <c r="G116" s="37" t="s">
        <v>190</v>
      </c>
    </row>
    <row r="117" spans="1:7">
      <c r="A117" s="66" t="s">
        <v>18</v>
      </c>
      <c r="B117" s="66"/>
      <c r="C117" s="66"/>
      <c r="D117" s="66"/>
      <c r="E117" s="66"/>
      <c r="F117" s="66"/>
      <c r="G117" s="37"/>
    </row>
    <row r="118" spans="1:7">
      <c r="A118" s="54" t="s">
        <v>29</v>
      </c>
      <c r="B118" s="65"/>
      <c r="C118" s="22">
        <f>D17</f>
        <v>6011</v>
      </c>
      <c r="D118" s="2">
        <f>D116+8*E116</f>
        <v>272</v>
      </c>
      <c r="E118" s="2">
        <v>4</v>
      </c>
      <c r="F118" s="2" t="s">
        <v>134</v>
      </c>
      <c r="G118" s="37" t="s">
        <v>190</v>
      </c>
    </row>
    <row r="119" spans="1:7">
      <c r="A119" s="54" t="s">
        <v>30</v>
      </c>
      <c r="B119" s="65"/>
      <c r="C119" s="22">
        <f>D17</f>
        <v>6011</v>
      </c>
      <c r="D119" s="2">
        <f>D118+E118</f>
        <v>276</v>
      </c>
      <c r="E119" s="2">
        <v>4</v>
      </c>
      <c r="F119" s="2" t="s">
        <v>134</v>
      </c>
      <c r="G119" s="37" t="s">
        <v>190</v>
      </c>
    </row>
    <row r="122" spans="1:7" hidden="1" outlineLevel="1">
      <c r="A122" s="5" t="s">
        <v>0</v>
      </c>
      <c r="B122" s="5"/>
      <c r="C122" s="6" t="s">
        <v>1</v>
      </c>
      <c r="D122" s="6" t="s">
        <v>5</v>
      </c>
      <c r="E122" s="6" t="s">
        <v>3</v>
      </c>
      <c r="F122" s="6" t="s">
        <v>4</v>
      </c>
    </row>
    <row r="123" spans="1:7" hidden="1" outlineLevel="1">
      <c r="A123" s="54" t="s">
        <v>22</v>
      </c>
      <c r="B123" s="54"/>
      <c r="C123" s="2">
        <f>D17</f>
        <v>6011</v>
      </c>
      <c r="D123" s="2">
        <f>D119+E119</f>
        <v>280</v>
      </c>
      <c r="E123" s="2">
        <v>4</v>
      </c>
      <c r="F123" s="2" t="s">
        <v>134</v>
      </c>
    </row>
    <row r="124" spans="1:7" hidden="1" outlineLevel="1">
      <c r="A124" s="66" t="s">
        <v>18</v>
      </c>
      <c r="B124" s="66"/>
      <c r="C124" s="66"/>
      <c r="D124" s="66"/>
      <c r="E124" s="66"/>
      <c r="F124" s="66"/>
    </row>
    <row r="125" spans="1:7" hidden="1" outlineLevel="1">
      <c r="A125" s="54" t="s">
        <v>14</v>
      </c>
      <c r="B125" s="54"/>
      <c r="C125" s="2">
        <f>D17</f>
        <v>6011</v>
      </c>
      <c r="D125" s="1">
        <f>D123+8*E123</f>
        <v>312</v>
      </c>
      <c r="E125" s="2">
        <v>4</v>
      </c>
      <c r="F125" s="2" t="s">
        <v>134</v>
      </c>
    </row>
    <row r="126" spans="1:7" hidden="1" outlineLevel="1">
      <c r="A126" s="54" t="s">
        <v>15</v>
      </c>
      <c r="B126" s="54"/>
      <c r="C126" s="2">
        <f>D17</f>
        <v>6011</v>
      </c>
      <c r="D126" s="2">
        <f>D125+E125</f>
        <v>316</v>
      </c>
      <c r="E126" s="2">
        <v>4</v>
      </c>
      <c r="F126" s="2" t="s">
        <v>134</v>
      </c>
    </row>
    <row r="127" spans="1:7" collapsed="1"/>
    <row r="129" spans="1:6">
      <c r="A129" s="5" t="s">
        <v>0</v>
      </c>
      <c r="B129" s="5"/>
      <c r="C129" s="6" t="s">
        <v>1</v>
      </c>
      <c r="D129" s="6" t="s">
        <v>5</v>
      </c>
      <c r="E129" s="6" t="s">
        <v>3</v>
      </c>
      <c r="F129" s="6" t="s">
        <v>4</v>
      </c>
    </row>
    <row r="130" spans="1:6">
      <c r="A130" s="54" t="s">
        <v>32</v>
      </c>
      <c r="B130" s="54"/>
      <c r="C130" s="2">
        <f>D17</f>
        <v>6011</v>
      </c>
      <c r="D130" s="2">
        <f>D126+E126</f>
        <v>320</v>
      </c>
      <c r="E130" s="2">
        <v>4</v>
      </c>
      <c r="F130" s="2" t="s">
        <v>134</v>
      </c>
    </row>
    <row r="131" spans="1:6">
      <c r="A131" s="66" t="s">
        <v>18</v>
      </c>
      <c r="B131" s="66"/>
      <c r="C131" s="66"/>
      <c r="D131" s="66"/>
      <c r="E131" s="66"/>
      <c r="F131" s="66"/>
    </row>
    <row r="132" spans="1:6">
      <c r="A132" s="54" t="s">
        <v>33</v>
      </c>
      <c r="B132" s="54"/>
      <c r="C132" s="2">
        <f>D17</f>
        <v>6011</v>
      </c>
      <c r="D132" s="1">
        <f>D130+8*E130</f>
        <v>352</v>
      </c>
      <c r="E132" s="2">
        <v>4</v>
      </c>
      <c r="F132" s="2" t="s">
        <v>134</v>
      </c>
    </row>
    <row r="133" spans="1:6">
      <c r="A133" s="54" t="s">
        <v>34</v>
      </c>
      <c r="B133" s="54"/>
      <c r="C133" s="2">
        <f>D17</f>
        <v>6011</v>
      </c>
      <c r="D133" s="2">
        <f>D132+E132</f>
        <v>356</v>
      </c>
      <c r="E133" s="2">
        <v>4</v>
      </c>
      <c r="F133" s="2" t="s">
        <v>134</v>
      </c>
    </row>
    <row r="136" spans="1:6">
      <c r="A136" s="5" t="s">
        <v>0</v>
      </c>
      <c r="B136" s="5"/>
      <c r="C136" s="6" t="s">
        <v>1</v>
      </c>
      <c r="D136" s="6" t="s">
        <v>5</v>
      </c>
      <c r="E136" s="6" t="s">
        <v>3</v>
      </c>
      <c r="F136" s="6" t="s">
        <v>4</v>
      </c>
    </row>
    <row r="137" spans="1:6">
      <c r="A137" s="54" t="s">
        <v>35</v>
      </c>
      <c r="B137" s="54"/>
      <c r="C137" s="2">
        <f>D17</f>
        <v>6011</v>
      </c>
      <c r="D137" s="2">
        <f>D133+E133</f>
        <v>360</v>
      </c>
      <c r="E137" s="2">
        <v>4</v>
      </c>
      <c r="F137" s="2" t="s">
        <v>134</v>
      </c>
    </row>
    <row r="138" spans="1:6">
      <c r="A138" s="66" t="s">
        <v>18</v>
      </c>
      <c r="B138" s="66"/>
      <c r="C138" s="66"/>
      <c r="D138" s="66"/>
      <c r="E138" s="66"/>
      <c r="F138" s="66"/>
    </row>
    <row r="139" spans="1:6">
      <c r="A139" s="54" t="s">
        <v>36</v>
      </c>
      <c r="B139" s="54"/>
      <c r="C139" s="2">
        <f>D17</f>
        <v>6011</v>
      </c>
      <c r="D139" s="1">
        <f>D137+8*E137</f>
        <v>392</v>
      </c>
      <c r="E139" s="2">
        <v>4</v>
      </c>
      <c r="F139" s="2" t="s">
        <v>134</v>
      </c>
    </row>
    <row r="140" spans="1:6">
      <c r="A140" s="54" t="s">
        <v>37</v>
      </c>
      <c r="B140" s="54"/>
      <c r="C140" s="2">
        <f>D18</f>
        <v>6012</v>
      </c>
      <c r="D140" s="2">
        <f>D139+E139</f>
        <v>396</v>
      </c>
      <c r="E140" s="2">
        <v>4</v>
      </c>
      <c r="F140" s="2" t="s">
        <v>134</v>
      </c>
    </row>
    <row r="143" spans="1:6">
      <c r="A143" s="5" t="s">
        <v>0</v>
      </c>
      <c r="B143" s="5"/>
      <c r="C143" s="6" t="s">
        <v>1</v>
      </c>
      <c r="D143" s="6" t="s">
        <v>5</v>
      </c>
      <c r="E143" s="6" t="s">
        <v>3</v>
      </c>
      <c r="F143" s="6" t="s">
        <v>4</v>
      </c>
    </row>
    <row r="144" spans="1:6">
      <c r="A144" s="54" t="s">
        <v>38</v>
      </c>
      <c r="B144" s="54"/>
      <c r="C144" s="2">
        <f>D17</f>
        <v>6011</v>
      </c>
      <c r="D144" s="2">
        <f>D140+E140</f>
        <v>400</v>
      </c>
      <c r="E144" s="2">
        <v>4</v>
      </c>
      <c r="F144" s="2" t="s">
        <v>134</v>
      </c>
    </row>
    <row r="145" spans="1:7">
      <c r="A145" s="66" t="s">
        <v>18</v>
      </c>
      <c r="B145" s="66"/>
      <c r="C145" s="66"/>
      <c r="D145" s="66"/>
      <c r="E145" s="66"/>
      <c r="F145" s="66"/>
    </row>
    <row r="146" spans="1:7">
      <c r="A146" s="54" t="s">
        <v>39</v>
      </c>
      <c r="B146" s="54"/>
      <c r="C146" s="2">
        <f>D17</f>
        <v>6011</v>
      </c>
      <c r="D146" s="1">
        <f>D144+8*E144</f>
        <v>432</v>
      </c>
      <c r="E146" s="2">
        <v>4</v>
      </c>
      <c r="F146" s="2" t="s">
        <v>134</v>
      </c>
    </row>
    <row r="147" spans="1:7">
      <c r="A147" s="54" t="s">
        <v>40</v>
      </c>
      <c r="B147" s="54"/>
      <c r="C147" s="2">
        <f>D17</f>
        <v>6011</v>
      </c>
      <c r="D147" s="2">
        <f>D146+E146</f>
        <v>436</v>
      </c>
      <c r="E147" s="2">
        <v>4</v>
      </c>
      <c r="F147" s="2" t="s">
        <v>134</v>
      </c>
    </row>
    <row r="150" spans="1:7">
      <c r="A150" s="5" t="s">
        <v>0</v>
      </c>
      <c r="B150" s="5"/>
      <c r="C150" s="6" t="s">
        <v>1</v>
      </c>
      <c r="D150" s="6" t="s">
        <v>5</v>
      </c>
      <c r="E150" s="6" t="s">
        <v>3</v>
      </c>
      <c r="F150" s="6" t="s">
        <v>4</v>
      </c>
    </row>
    <row r="151" spans="1:7">
      <c r="A151" s="54" t="s">
        <v>41</v>
      </c>
      <c r="B151" s="54"/>
      <c r="C151" s="2">
        <f>D17</f>
        <v>6011</v>
      </c>
      <c r="D151" s="2">
        <f>D147+E147</f>
        <v>440</v>
      </c>
      <c r="E151" s="2">
        <v>4</v>
      </c>
      <c r="F151" s="2" t="s">
        <v>134</v>
      </c>
    </row>
    <row r="152" spans="1:7">
      <c r="A152" s="66" t="s">
        <v>18</v>
      </c>
      <c r="B152" s="66"/>
      <c r="C152" s="66"/>
      <c r="D152" s="66"/>
      <c r="E152" s="66"/>
      <c r="F152" s="66"/>
    </row>
    <row r="153" spans="1:7">
      <c r="A153" s="54" t="s">
        <v>42</v>
      </c>
      <c r="B153" s="54"/>
      <c r="C153" s="2">
        <f>D17</f>
        <v>6011</v>
      </c>
      <c r="D153" s="1">
        <f>D151+8*E151</f>
        <v>472</v>
      </c>
      <c r="E153" s="2">
        <v>4</v>
      </c>
      <c r="F153" s="2" t="s">
        <v>134</v>
      </c>
    </row>
    <row r="154" spans="1:7">
      <c r="A154" s="54" t="s">
        <v>43</v>
      </c>
      <c r="B154" s="54"/>
      <c r="C154" s="2">
        <f>D17</f>
        <v>6011</v>
      </c>
      <c r="D154" s="2">
        <f>D153+E153</f>
        <v>476</v>
      </c>
      <c r="E154" s="2">
        <v>4</v>
      </c>
      <c r="F154" s="2" t="s">
        <v>134</v>
      </c>
    </row>
    <row r="156" spans="1:7" s="38" customFormat="1" ht="18">
      <c r="A156" s="44" t="str">
        <f>A18</f>
        <v>3. PC-&gt;S7 : Alarmstatus</v>
      </c>
      <c r="C156" s="43"/>
      <c r="D156" s="43"/>
      <c r="E156" s="43"/>
      <c r="F156" s="43"/>
    </row>
    <row r="157" spans="1:7">
      <c r="A157" s="7"/>
      <c r="B157" s="4"/>
      <c r="C157" s="2"/>
      <c r="D157" s="2"/>
      <c r="E157" s="2"/>
      <c r="F157" s="2"/>
    </row>
    <row r="158" spans="1:7">
      <c r="A158" s="7"/>
      <c r="B158" s="4"/>
      <c r="C158" s="2"/>
      <c r="D158" s="2"/>
      <c r="E158" s="2"/>
      <c r="F158" s="2"/>
    </row>
    <row r="159" spans="1:7">
      <c r="A159" s="7"/>
      <c r="B159" s="4"/>
      <c r="C159" s="2"/>
      <c r="D159" s="2"/>
      <c r="E159" s="2"/>
      <c r="F159" s="2"/>
    </row>
    <row r="160" spans="1:7" ht="15.75">
      <c r="A160" s="9" t="s">
        <v>44</v>
      </c>
      <c r="B160" s="9"/>
      <c r="C160" s="2"/>
      <c r="D160" s="2"/>
      <c r="E160" s="2"/>
      <c r="F160" s="2"/>
      <c r="G160" s="4"/>
    </row>
    <row r="161" spans="1:7">
      <c r="A161" s="7"/>
      <c r="B161" s="7"/>
      <c r="C161" s="2"/>
      <c r="D161" s="2"/>
      <c r="E161" s="2"/>
      <c r="F161" s="2"/>
      <c r="G161" s="4"/>
    </row>
    <row r="162" spans="1:7">
      <c r="A162" s="60" t="s">
        <v>0</v>
      </c>
      <c r="B162" s="60"/>
      <c r="C162" s="6" t="s">
        <v>56</v>
      </c>
      <c r="D162" s="12"/>
      <c r="E162" s="12"/>
      <c r="F162" s="12"/>
      <c r="G162" s="2"/>
    </row>
    <row r="163" spans="1:7">
      <c r="A163" s="74" t="s">
        <v>47</v>
      </c>
      <c r="B163" s="74"/>
      <c r="C163" s="10">
        <v>0</v>
      </c>
      <c r="D163" s="10"/>
      <c r="E163" s="25" t="s">
        <v>138</v>
      </c>
      <c r="F163" s="10"/>
      <c r="G163" s="4"/>
    </row>
    <row r="164" spans="1:7">
      <c r="A164" s="55" t="s">
        <v>48</v>
      </c>
      <c r="B164" s="55"/>
      <c r="C164" s="10">
        <v>1</v>
      </c>
      <c r="D164" s="10"/>
      <c r="E164" s="25" t="s">
        <v>139</v>
      </c>
      <c r="F164" s="10"/>
      <c r="G164" s="4"/>
    </row>
    <row r="165" spans="1:7">
      <c r="A165" s="55" t="s">
        <v>57</v>
      </c>
      <c r="B165" s="55"/>
      <c r="C165" s="10">
        <v>2</v>
      </c>
      <c r="D165" s="10"/>
      <c r="E165" s="25" t="s">
        <v>140</v>
      </c>
      <c r="F165" s="10"/>
      <c r="G165" s="4"/>
    </row>
    <row r="166" spans="1:7">
      <c r="A166" s="55" t="s">
        <v>58</v>
      </c>
      <c r="B166" s="55"/>
      <c r="C166" s="10">
        <v>3</v>
      </c>
      <c r="D166" s="10"/>
      <c r="E166" s="25" t="s">
        <v>141</v>
      </c>
      <c r="F166" s="10"/>
      <c r="G166" s="4"/>
    </row>
    <row r="167" spans="1:7">
      <c r="A167" s="55" t="s">
        <v>49</v>
      </c>
      <c r="B167" s="55"/>
      <c r="C167" s="10">
        <v>4</v>
      </c>
      <c r="D167" s="10"/>
      <c r="E167" s="26"/>
      <c r="F167" s="10"/>
      <c r="G167" s="4"/>
    </row>
    <row r="168" spans="1:7">
      <c r="A168" s="55" t="s">
        <v>50</v>
      </c>
      <c r="B168" s="55"/>
      <c r="C168" s="10">
        <v>5</v>
      </c>
      <c r="D168" s="10"/>
      <c r="E168" s="26"/>
      <c r="F168" s="10"/>
      <c r="G168" s="4"/>
    </row>
    <row r="169" spans="1:7">
      <c r="A169" s="55" t="s">
        <v>51</v>
      </c>
      <c r="B169" s="55"/>
      <c r="C169" s="10">
        <v>6</v>
      </c>
      <c r="D169" s="10"/>
      <c r="E169" s="26"/>
      <c r="F169" s="10"/>
      <c r="G169" s="4"/>
    </row>
    <row r="170" spans="1:7">
      <c r="A170" s="55" t="s">
        <v>49</v>
      </c>
      <c r="B170" s="55"/>
      <c r="C170" s="10">
        <v>7</v>
      </c>
      <c r="D170" s="10"/>
      <c r="E170" s="26"/>
      <c r="F170" s="10"/>
      <c r="G170" s="4"/>
    </row>
    <row r="171" spans="1:7">
      <c r="A171" s="55" t="s">
        <v>52</v>
      </c>
      <c r="B171" s="55"/>
      <c r="C171" s="10">
        <v>8</v>
      </c>
      <c r="D171" s="10"/>
      <c r="E171" s="26"/>
      <c r="F171" s="10"/>
      <c r="G171" s="4"/>
    </row>
    <row r="172" spans="1:7">
      <c r="A172" s="55" t="s">
        <v>49</v>
      </c>
      <c r="B172" s="55"/>
      <c r="C172" s="10">
        <v>9</v>
      </c>
      <c r="D172" s="10"/>
      <c r="E172" s="26"/>
      <c r="F172" s="10"/>
      <c r="G172" s="4"/>
    </row>
    <row r="173" spans="1:7">
      <c r="A173" s="55" t="s">
        <v>49</v>
      </c>
      <c r="B173" s="55"/>
      <c r="C173" s="10">
        <v>10</v>
      </c>
      <c r="D173" s="10"/>
      <c r="E173" s="26"/>
      <c r="F173" s="10"/>
      <c r="G173" s="4"/>
    </row>
    <row r="174" spans="1:7">
      <c r="A174" s="55" t="s">
        <v>53</v>
      </c>
      <c r="B174" s="55"/>
      <c r="C174" s="10">
        <v>11</v>
      </c>
      <c r="D174" s="10"/>
      <c r="E174" s="10"/>
      <c r="F174" s="10"/>
      <c r="G174" s="4"/>
    </row>
    <row r="175" spans="1:7">
      <c r="A175" s="55" t="s">
        <v>49</v>
      </c>
      <c r="B175" s="55"/>
      <c r="C175" s="10">
        <v>12</v>
      </c>
      <c r="D175" s="10"/>
      <c r="E175" s="10"/>
      <c r="F175" s="10"/>
      <c r="G175" s="4"/>
    </row>
    <row r="176" spans="1:7">
      <c r="A176" s="55" t="s">
        <v>49</v>
      </c>
      <c r="B176" s="55"/>
      <c r="C176" s="10">
        <v>13</v>
      </c>
      <c r="D176" s="10"/>
      <c r="E176" s="10"/>
      <c r="F176" s="10"/>
      <c r="G176" s="4"/>
    </row>
    <row r="177" spans="1:7">
      <c r="A177" s="55" t="s">
        <v>49</v>
      </c>
      <c r="B177" s="55"/>
      <c r="C177" s="10">
        <v>14</v>
      </c>
      <c r="D177" s="10"/>
      <c r="E177" s="10"/>
      <c r="F177" s="10"/>
      <c r="G177" s="4"/>
    </row>
    <row r="178" spans="1:7">
      <c r="A178" s="55" t="s">
        <v>49</v>
      </c>
      <c r="B178" s="55"/>
      <c r="C178" s="10">
        <v>15</v>
      </c>
      <c r="D178" s="10"/>
      <c r="E178" s="10"/>
      <c r="F178" s="10"/>
      <c r="G178" s="4"/>
    </row>
    <row r="179" spans="1:7">
      <c r="A179" s="55" t="s">
        <v>49</v>
      </c>
      <c r="B179" s="55"/>
      <c r="C179" s="10">
        <v>16</v>
      </c>
      <c r="D179" s="10"/>
      <c r="E179" s="10"/>
      <c r="F179" s="10"/>
      <c r="G179" s="4"/>
    </row>
    <row r="180" spans="1:7">
      <c r="A180" s="55" t="s">
        <v>49</v>
      </c>
      <c r="B180" s="55"/>
      <c r="C180" s="10">
        <v>17</v>
      </c>
      <c r="D180" s="10"/>
      <c r="E180" s="10"/>
      <c r="F180" s="10"/>
      <c r="G180" s="4"/>
    </row>
    <row r="181" spans="1:7">
      <c r="A181" s="55" t="s">
        <v>54</v>
      </c>
      <c r="B181" s="55"/>
      <c r="C181" s="10">
        <v>18</v>
      </c>
      <c r="D181" s="10"/>
      <c r="E181" s="10"/>
      <c r="F181" s="10"/>
      <c r="G181" s="4"/>
    </row>
    <row r="182" spans="1:7">
      <c r="A182" s="55" t="s">
        <v>49</v>
      </c>
      <c r="B182" s="55"/>
      <c r="C182" s="10">
        <v>19</v>
      </c>
      <c r="D182" s="10"/>
      <c r="E182" s="10"/>
      <c r="F182" s="10"/>
      <c r="G182" s="4"/>
    </row>
    <row r="183" spans="1:7">
      <c r="A183" s="75" t="s">
        <v>45</v>
      </c>
      <c r="B183" s="75"/>
      <c r="C183" s="10">
        <v>20</v>
      </c>
      <c r="D183" s="10"/>
      <c r="E183" s="10"/>
      <c r="F183" s="10"/>
      <c r="G183" s="4"/>
    </row>
    <row r="184" spans="1:7">
      <c r="A184" s="55" t="s">
        <v>55</v>
      </c>
      <c r="B184" s="55"/>
      <c r="C184" s="10">
        <v>21</v>
      </c>
      <c r="D184" s="10"/>
      <c r="E184" s="10"/>
      <c r="F184" s="10"/>
      <c r="G184" s="4"/>
    </row>
    <row r="185" spans="1:7">
      <c r="A185" s="75" t="s">
        <v>46</v>
      </c>
      <c r="B185" s="75"/>
      <c r="C185" s="10">
        <v>22</v>
      </c>
      <c r="D185" s="10"/>
      <c r="E185" s="10"/>
      <c r="F185" s="10"/>
      <c r="G185" s="4"/>
    </row>
    <row r="186" spans="1:7">
      <c r="A186" s="55" t="s">
        <v>194</v>
      </c>
      <c r="B186" s="55"/>
      <c r="C186" s="10">
        <v>23</v>
      </c>
      <c r="D186" s="10"/>
      <c r="E186" s="10"/>
      <c r="F186" s="10"/>
      <c r="G186" s="4"/>
    </row>
    <row r="187" spans="1:7">
      <c r="A187" s="55" t="s">
        <v>49</v>
      </c>
      <c r="B187" s="55"/>
      <c r="C187" s="10">
        <v>24</v>
      </c>
      <c r="D187" s="10"/>
      <c r="E187" s="10"/>
      <c r="F187" s="10"/>
      <c r="G187" s="4"/>
    </row>
    <row r="188" spans="1:7">
      <c r="A188" s="55" t="s">
        <v>49</v>
      </c>
      <c r="B188" s="55"/>
      <c r="C188" s="10">
        <v>25</v>
      </c>
      <c r="D188" s="10"/>
      <c r="E188" s="10"/>
      <c r="F188" s="10"/>
      <c r="G188" s="4"/>
    </row>
    <row r="189" spans="1:7">
      <c r="A189" s="55" t="s">
        <v>49</v>
      </c>
      <c r="B189" s="55"/>
      <c r="C189" s="2">
        <v>26</v>
      </c>
      <c r="D189" s="10"/>
      <c r="E189" s="10"/>
      <c r="F189" s="10"/>
      <c r="G189" s="4"/>
    </row>
    <row r="190" spans="1:7">
      <c r="A190" s="55" t="s">
        <v>49</v>
      </c>
      <c r="B190" s="55"/>
      <c r="C190" s="2">
        <v>27</v>
      </c>
      <c r="D190" s="10"/>
      <c r="E190" s="10"/>
      <c r="F190" s="10"/>
      <c r="G190" s="4"/>
    </row>
    <row r="191" spans="1:7">
      <c r="A191" s="55" t="s">
        <v>49</v>
      </c>
      <c r="B191" s="55"/>
      <c r="C191" s="2">
        <v>28</v>
      </c>
      <c r="D191" s="10"/>
      <c r="E191" s="10"/>
      <c r="F191" s="10"/>
      <c r="G191" s="4"/>
    </row>
    <row r="192" spans="1:7">
      <c r="A192" s="55" t="s">
        <v>59</v>
      </c>
      <c r="B192" s="55"/>
      <c r="C192" s="10">
        <v>29</v>
      </c>
      <c r="D192" s="10"/>
      <c r="E192" s="10"/>
      <c r="F192" s="10"/>
      <c r="G192" s="4"/>
    </row>
    <row r="193" spans="1:7">
      <c r="A193" s="55" t="s">
        <v>60</v>
      </c>
      <c r="B193" s="55"/>
      <c r="C193" s="10">
        <v>30</v>
      </c>
      <c r="D193" s="10"/>
      <c r="E193" s="10"/>
      <c r="F193" s="10"/>
      <c r="G193" s="4"/>
    </row>
    <row r="194" spans="1:7">
      <c r="A194" s="55" t="s">
        <v>49</v>
      </c>
      <c r="B194" s="55"/>
      <c r="C194" s="10">
        <v>31</v>
      </c>
      <c r="D194" s="10"/>
      <c r="E194" s="10"/>
      <c r="F194" s="10"/>
      <c r="G194" s="4"/>
    </row>
    <row r="195" spans="1:7">
      <c r="A195" s="11"/>
    </row>
    <row r="197" spans="1:7">
      <c r="A197" s="17" t="s">
        <v>0</v>
      </c>
      <c r="B197" s="17"/>
      <c r="C197" s="18" t="s">
        <v>1</v>
      </c>
      <c r="D197" s="18" t="s">
        <v>5</v>
      </c>
      <c r="E197" s="18" t="s">
        <v>3</v>
      </c>
      <c r="F197" s="18" t="s">
        <v>4</v>
      </c>
    </row>
    <row r="198" spans="1:7">
      <c r="A198" s="62" t="s">
        <v>61</v>
      </c>
      <c r="B198" s="62"/>
      <c r="C198" s="19">
        <f>D18</f>
        <v>6012</v>
      </c>
      <c r="D198" s="19">
        <f>0</f>
        <v>0</v>
      </c>
      <c r="E198" s="19">
        <v>4</v>
      </c>
      <c r="F198" s="19" t="s">
        <v>64</v>
      </c>
    </row>
    <row r="199" spans="1:7">
      <c r="A199" s="69" t="s">
        <v>18</v>
      </c>
      <c r="B199" s="69"/>
      <c r="C199" s="69"/>
      <c r="D199" s="69"/>
      <c r="E199" s="69"/>
      <c r="F199" s="69"/>
    </row>
    <row r="200" spans="1:7">
      <c r="A200" s="62" t="s">
        <v>62</v>
      </c>
      <c r="B200" s="62"/>
      <c r="C200" s="19">
        <f>D18</f>
        <v>6012</v>
      </c>
      <c r="D200" s="20">
        <f>D198+8*E198</f>
        <v>32</v>
      </c>
      <c r="E200" s="19">
        <v>4</v>
      </c>
      <c r="F200" s="19" t="s">
        <v>64</v>
      </c>
    </row>
    <row r="201" spans="1:7">
      <c r="A201" s="62" t="s">
        <v>63</v>
      </c>
      <c r="B201" s="62"/>
      <c r="C201" s="19">
        <f>D18</f>
        <v>6012</v>
      </c>
      <c r="D201" s="19">
        <f>D200+E200</f>
        <v>36</v>
      </c>
      <c r="E201" s="19">
        <v>4</v>
      </c>
      <c r="F201" s="19" t="s">
        <v>64</v>
      </c>
    </row>
    <row r="204" spans="1:7" s="38" customFormat="1" ht="18">
      <c r="A204" s="44" t="str">
        <f>A19</f>
        <v>4. PC-&gt;S7 : Feeder Processstatus</v>
      </c>
      <c r="C204" s="43"/>
      <c r="D204" s="43"/>
      <c r="E204" s="43"/>
      <c r="F204" s="43"/>
    </row>
    <row r="205" spans="1:7">
      <c r="A205" s="7"/>
      <c r="B205" s="4"/>
      <c r="C205" s="2"/>
      <c r="D205" s="2"/>
      <c r="E205" s="2"/>
      <c r="F205" s="2"/>
    </row>
    <row r="206" spans="1:7">
      <c r="A206" s="7"/>
      <c r="B206" s="4"/>
      <c r="C206" s="2"/>
      <c r="D206" s="2"/>
      <c r="E206" s="2"/>
      <c r="F206" s="2"/>
    </row>
    <row r="207" spans="1:7">
      <c r="A207" s="7"/>
      <c r="B207" s="4"/>
      <c r="C207" s="2"/>
      <c r="D207" s="2"/>
      <c r="E207" s="2"/>
      <c r="F207" s="2"/>
    </row>
    <row r="208" spans="1:7" ht="15.75">
      <c r="A208" s="9" t="s">
        <v>65</v>
      </c>
      <c r="B208" s="9"/>
      <c r="C208" s="2"/>
      <c r="D208" s="2"/>
      <c r="E208" s="2"/>
      <c r="F208" s="2"/>
      <c r="G208" s="4"/>
    </row>
    <row r="209" spans="1:7">
      <c r="A209" s="7"/>
      <c r="B209" s="7"/>
      <c r="C209" s="2"/>
      <c r="D209" s="2"/>
      <c r="E209" s="2"/>
      <c r="F209" s="2"/>
      <c r="G209" s="4"/>
    </row>
    <row r="210" spans="1:7">
      <c r="A210" s="60" t="s">
        <v>0</v>
      </c>
      <c r="B210" s="60"/>
      <c r="C210" s="6" t="s">
        <v>56</v>
      </c>
      <c r="D210" s="12"/>
      <c r="E210" s="12"/>
      <c r="F210" s="12"/>
      <c r="G210" s="2"/>
    </row>
    <row r="211" spans="1:7">
      <c r="A211" s="74" t="s">
        <v>66</v>
      </c>
      <c r="B211" s="74"/>
      <c r="C211" s="10">
        <v>0</v>
      </c>
      <c r="D211" s="10"/>
      <c r="E211" s="10"/>
      <c r="F211" s="10"/>
      <c r="G211" s="4"/>
    </row>
    <row r="212" spans="1:7">
      <c r="A212" s="55" t="s">
        <v>49</v>
      </c>
      <c r="B212" s="55"/>
      <c r="C212" s="10">
        <v>1</v>
      </c>
      <c r="D212" s="10"/>
      <c r="E212" s="10"/>
      <c r="F212" s="10"/>
      <c r="G212" s="4"/>
    </row>
    <row r="213" spans="1:7">
      <c r="A213" s="55" t="s">
        <v>69</v>
      </c>
      <c r="B213" s="75"/>
      <c r="C213" s="10">
        <v>2</v>
      </c>
      <c r="D213" s="10"/>
      <c r="E213" s="10"/>
      <c r="F213" s="10"/>
      <c r="G213" s="4"/>
    </row>
    <row r="214" spans="1:7">
      <c r="A214" s="55" t="s">
        <v>157</v>
      </c>
      <c r="B214" s="55"/>
      <c r="C214" s="10">
        <v>3</v>
      </c>
      <c r="D214" s="10"/>
      <c r="E214" s="10"/>
      <c r="F214" s="10"/>
      <c r="G214" s="4"/>
    </row>
    <row r="215" spans="1:7">
      <c r="A215" s="55" t="s">
        <v>158</v>
      </c>
      <c r="B215" s="55"/>
      <c r="C215" s="10">
        <v>4</v>
      </c>
      <c r="D215" s="10"/>
      <c r="E215" s="10"/>
      <c r="F215" s="10"/>
      <c r="G215" s="4"/>
    </row>
    <row r="216" spans="1:7">
      <c r="A216" s="87" t="s">
        <v>203</v>
      </c>
      <c r="B216" s="87"/>
      <c r="C216" s="83">
        <v>5</v>
      </c>
      <c r="D216" s="83"/>
      <c r="E216" s="88" t="s">
        <v>204</v>
      </c>
      <c r="F216" s="83"/>
      <c r="G216" s="4"/>
    </row>
    <row r="217" spans="1:7">
      <c r="A217" s="55" t="s">
        <v>185</v>
      </c>
      <c r="B217" s="55"/>
      <c r="C217" s="10">
        <v>6</v>
      </c>
      <c r="D217" s="10"/>
      <c r="E217" s="25" t="s">
        <v>186</v>
      </c>
      <c r="F217" s="10"/>
      <c r="G217" s="4"/>
    </row>
    <row r="218" spans="1:7">
      <c r="A218" s="76" t="s">
        <v>70</v>
      </c>
      <c r="B218" s="76"/>
      <c r="C218" s="10">
        <v>7</v>
      </c>
      <c r="D218" s="10"/>
      <c r="E218" s="10"/>
      <c r="F218" s="10"/>
      <c r="G218" s="4"/>
    </row>
    <row r="219" spans="1:7">
      <c r="A219" s="55" t="s">
        <v>71</v>
      </c>
      <c r="B219" s="55"/>
      <c r="C219" s="10">
        <v>8</v>
      </c>
      <c r="D219" s="10"/>
      <c r="E219" s="10"/>
      <c r="F219" s="10"/>
      <c r="G219" s="4"/>
    </row>
    <row r="220" spans="1:7">
      <c r="A220" s="55" t="s">
        <v>49</v>
      </c>
      <c r="B220" s="55"/>
      <c r="C220" s="10">
        <v>9</v>
      </c>
      <c r="D220" s="10"/>
      <c r="E220" s="10"/>
      <c r="F220" s="10"/>
      <c r="G220" s="4"/>
    </row>
    <row r="221" spans="1:7">
      <c r="A221" s="55" t="s">
        <v>49</v>
      </c>
      <c r="B221" s="55"/>
      <c r="C221" s="10">
        <v>10</v>
      </c>
      <c r="D221" s="10"/>
      <c r="E221" s="10"/>
      <c r="F221" s="10"/>
      <c r="G221" s="4"/>
    </row>
    <row r="222" spans="1:7">
      <c r="A222" s="55" t="s">
        <v>49</v>
      </c>
      <c r="B222" s="55"/>
      <c r="C222" s="10">
        <v>11</v>
      </c>
      <c r="D222" s="10"/>
      <c r="E222" s="10"/>
      <c r="F222" s="10"/>
      <c r="G222" s="4"/>
    </row>
    <row r="223" spans="1:7">
      <c r="A223" s="55" t="s">
        <v>49</v>
      </c>
      <c r="B223" s="55"/>
      <c r="C223" s="10">
        <v>12</v>
      </c>
      <c r="D223" s="10"/>
      <c r="E223" s="10"/>
      <c r="F223" s="10"/>
      <c r="G223" s="4"/>
    </row>
    <row r="224" spans="1:7">
      <c r="A224" s="55" t="s">
        <v>49</v>
      </c>
      <c r="B224" s="55"/>
      <c r="C224" s="10">
        <v>13</v>
      </c>
      <c r="D224" s="10"/>
      <c r="E224" s="10"/>
      <c r="F224" s="10"/>
      <c r="G224" s="4"/>
    </row>
    <row r="225" spans="1:7">
      <c r="A225" s="55" t="s">
        <v>49</v>
      </c>
      <c r="B225" s="55"/>
      <c r="C225" s="2">
        <v>14</v>
      </c>
      <c r="D225" s="10"/>
      <c r="E225"/>
      <c r="F225" s="10"/>
      <c r="G225" s="4"/>
    </row>
    <row r="226" spans="1:7">
      <c r="A226" s="55" t="s">
        <v>49</v>
      </c>
      <c r="B226" s="55"/>
      <c r="C226" s="2">
        <v>15</v>
      </c>
      <c r="D226" s="10"/>
      <c r="E226"/>
      <c r="F226" s="10"/>
      <c r="G226" s="4"/>
    </row>
    <row r="227" spans="1:7">
      <c r="A227" s="55" t="s">
        <v>49</v>
      </c>
      <c r="B227" s="55"/>
      <c r="C227" s="10">
        <v>16</v>
      </c>
      <c r="D227" s="10"/>
      <c r="E227" s="10"/>
      <c r="F227" s="10"/>
      <c r="G227" s="4"/>
    </row>
    <row r="228" spans="1:7">
      <c r="A228" s="55" t="s">
        <v>49</v>
      </c>
      <c r="B228" s="55"/>
      <c r="C228" s="10">
        <v>17</v>
      </c>
      <c r="D228" s="10"/>
      <c r="E228" s="10"/>
      <c r="F228" s="10"/>
      <c r="G228" s="4"/>
    </row>
    <row r="229" spans="1:7">
      <c r="A229" s="55" t="s">
        <v>156</v>
      </c>
      <c r="B229" s="55"/>
      <c r="C229" s="10">
        <v>18</v>
      </c>
      <c r="E229" s="25" t="s">
        <v>153</v>
      </c>
      <c r="G229" s="4"/>
    </row>
    <row r="230" spans="1:7">
      <c r="A230" s="55" t="s">
        <v>155</v>
      </c>
      <c r="B230" s="55"/>
      <c r="C230" s="10">
        <v>19</v>
      </c>
      <c r="E230" s="25" t="s">
        <v>154</v>
      </c>
      <c r="G230" s="4"/>
    </row>
    <row r="231" spans="1:7">
      <c r="A231" s="55" t="s">
        <v>49</v>
      </c>
      <c r="B231" s="55"/>
      <c r="C231" s="10">
        <v>20</v>
      </c>
      <c r="E231" s="25"/>
      <c r="G231" s="4"/>
    </row>
    <row r="232" spans="1:7">
      <c r="A232" s="55" t="s">
        <v>49</v>
      </c>
      <c r="B232" s="55"/>
      <c r="C232" s="10">
        <v>21</v>
      </c>
      <c r="D232" s="10"/>
      <c r="E232" s="10"/>
      <c r="F232" s="10"/>
      <c r="G232" s="4"/>
    </row>
    <row r="233" spans="1:7">
      <c r="A233" s="55" t="s">
        <v>49</v>
      </c>
      <c r="B233" s="55"/>
      <c r="C233" s="10">
        <v>22</v>
      </c>
      <c r="D233" s="10"/>
      <c r="E233" s="10"/>
      <c r="F233" s="10"/>
      <c r="G233" s="4"/>
    </row>
    <row r="234" spans="1:7">
      <c r="A234" s="55" t="s">
        <v>49</v>
      </c>
      <c r="B234" s="55"/>
      <c r="C234" s="10">
        <v>23</v>
      </c>
      <c r="D234" s="10"/>
      <c r="E234" s="10"/>
      <c r="F234" s="10"/>
      <c r="G234" s="4"/>
    </row>
    <row r="235" spans="1:7">
      <c r="A235" s="55" t="s">
        <v>49</v>
      </c>
      <c r="B235" s="55"/>
      <c r="C235" s="10">
        <v>24</v>
      </c>
      <c r="D235" s="10"/>
      <c r="E235" s="10"/>
      <c r="F235" s="10"/>
      <c r="G235" s="4"/>
    </row>
    <row r="236" spans="1:7">
      <c r="A236" s="55" t="s">
        <v>49</v>
      </c>
      <c r="B236" s="55"/>
      <c r="C236" s="10">
        <v>25</v>
      </c>
      <c r="D236" s="10"/>
      <c r="E236" s="10"/>
      <c r="F236" s="10"/>
      <c r="G236" s="4"/>
    </row>
    <row r="237" spans="1:7">
      <c r="A237" s="55" t="s">
        <v>49</v>
      </c>
      <c r="B237" s="55"/>
      <c r="C237" s="10">
        <v>26</v>
      </c>
      <c r="D237" s="10"/>
      <c r="E237" s="10"/>
      <c r="F237" s="10"/>
      <c r="G237" s="4"/>
    </row>
    <row r="238" spans="1:7">
      <c r="A238" s="55" t="s">
        <v>49</v>
      </c>
      <c r="B238" s="55"/>
      <c r="C238" s="10">
        <v>27</v>
      </c>
      <c r="D238" s="10"/>
      <c r="E238" s="10"/>
      <c r="F238" s="10"/>
      <c r="G238" s="4"/>
    </row>
    <row r="239" spans="1:7">
      <c r="A239" s="55" t="s">
        <v>49</v>
      </c>
      <c r="B239" s="55"/>
      <c r="C239" s="10">
        <v>28</v>
      </c>
      <c r="D239" s="10"/>
      <c r="E239" s="10"/>
      <c r="F239" s="10"/>
      <c r="G239" s="4"/>
    </row>
    <row r="240" spans="1:7">
      <c r="A240" s="55" t="s">
        <v>49</v>
      </c>
      <c r="B240" s="55"/>
      <c r="C240" s="10">
        <v>29</v>
      </c>
      <c r="D240" s="10"/>
      <c r="E240" s="10"/>
      <c r="F240" s="10"/>
      <c r="G240" s="4"/>
    </row>
    <row r="241" spans="1:7">
      <c r="A241" s="55" t="s">
        <v>49</v>
      </c>
      <c r="B241" s="55"/>
      <c r="C241" s="10">
        <v>30</v>
      </c>
      <c r="D241" s="10"/>
      <c r="E241" s="10"/>
      <c r="F241" s="10"/>
      <c r="G241" s="4"/>
    </row>
    <row r="242" spans="1:7">
      <c r="A242" s="55" t="s">
        <v>49</v>
      </c>
      <c r="B242" s="55"/>
      <c r="C242" s="10">
        <v>31</v>
      </c>
      <c r="D242" s="10"/>
      <c r="E242" s="10"/>
      <c r="F242" s="10"/>
      <c r="G242" s="4"/>
    </row>
    <row r="243" spans="1:7">
      <c r="A243" s="11"/>
    </row>
    <row r="245" spans="1:7">
      <c r="A245" s="17" t="s">
        <v>0</v>
      </c>
      <c r="B245" s="17"/>
      <c r="C245" s="18" t="s">
        <v>1</v>
      </c>
      <c r="D245" s="18" t="s">
        <v>5</v>
      </c>
      <c r="E245" s="18" t="s">
        <v>3</v>
      </c>
      <c r="F245" s="18" t="s">
        <v>4</v>
      </c>
    </row>
    <row r="246" spans="1:7">
      <c r="A246" s="62" t="s">
        <v>72</v>
      </c>
      <c r="B246" s="62"/>
      <c r="C246" s="19">
        <f>D19</f>
        <v>6012</v>
      </c>
      <c r="D246" s="19">
        <f>D201+E201</f>
        <v>40</v>
      </c>
      <c r="E246" s="19">
        <v>4</v>
      </c>
      <c r="F246" s="19" t="s">
        <v>64</v>
      </c>
    </row>
    <row r="247" spans="1:7">
      <c r="A247" s="69" t="s">
        <v>18</v>
      </c>
      <c r="B247" s="69"/>
      <c r="C247" s="69"/>
      <c r="D247" s="69"/>
      <c r="E247" s="69"/>
      <c r="F247" s="69"/>
    </row>
    <row r="248" spans="1:7">
      <c r="A248" s="62" t="s">
        <v>73</v>
      </c>
      <c r="B248" s="62"/>
      <c r="C248" s="19">
        <f>D19</f>
        <v>6012</v>
      </c>
      <c r="D248" s="20">
        <f>D246+8*E246</f>
        <v>72</v>
      </c>
      <c r="E248" s="19">
        <v>4</v>
      </c>
      <c r="F248" s="19" t="s">
        <v>64</v>
      </c>
    </row>
    <row r="249" spans="1:7">
      <c r="A249" s="62" t="s">
        <v>74</v>
      </c>
      <c r="B249" s="62"/>
      <c r="C249" s="19">
        <f>D19</f>
        <v>6012</v>
      </c>
      <c r="D249" s="19">
        <f>D248+E248</f>
        <v>76</v>
      </c>
      <c r="E249" s="19">
        <v>4</v>
      </c>
      <c r="F249" s="19" t="s">
        <v>64</v>
      </c>
    </row>
    <row r="252" spans="1:7" s="38" customFormat="1" ht="18">
      <c r="A252" s="68" t="str">
        <f>A20</f>
        <v>5. S7-&gt;PC : Analog general values</v>
      </c>
      <c r="B252" s="68"/>
      <c r="C252" s="68"/>
      <c r="D252" s="68"/>
      <c r="E252" s="68"/>
      <c r="F252" s="43"/>
    </row>
    <row r="253" spans="1:7" s="4" customFormat="1" ht="12.75" customHeight="1">
      <c r="A253" s="7"/>
      <c r="C253" s="2"/>
      <c r="D253" s="2"/>
      <c r="E253" s="2"/>
      <c r="F253" s="2"/>
    </row>
    <row r="254" spans="1:7" s="4" customFormat="1" ht="12.75" customHeight="1">
      <c r="A254" s="7"/>
      <c r="C254" s="2"/>
      <c r="D254" s="2"/>
      <c r="E254" s="2"/>
      <c r="F254" s="2"/>
    </row>
    <row r="255" spans="1:7" s="4" customFormat="1" ht="12.75" customHeight="1">
      <c r="A255" s="17" t="s">
        <v>0</v>
      </c>
      <c r="B255" s="17"/>
      <c r="C255" s="18" t="s">
        <v>1</v>
      </c>
      <c r="D255" s="18" t="s">
        <v>5</v>
      </c>
      <c r="E255" s="18" t="s">
        <v>3</v>
      </c>
      <c r="F255" s="18" t="s">
        <v>4</v>
      </c>
      <c r="G255" s="36" t="s">
        <v>188</v>
      </c>
    </row>
    <row r="256" spans="1:7" s="4" customFormat="1" ht="12.75" customHeight="1">
      <c r="A256" s="61" t="s">
        <v>75</v>
      </c>
      <c r="B256" s="61"/>
      <c r="C256" s="21">
        <f>D20</f>
        <v>6020</v>
      </c>
      <c r="D256" s="19">
        <v>0</v>
      </c>
      <c r="E256" s="19">
        <v>4</v>
      </c>
      <c r="F256" s="19" t="s">
        <v>134</v>
      </c>
      <c r="G256" s="35" t="s">
        <v>189</v>
      </c>
    </row>
    <row r="257" spans="1:7" s="4" customFormat="1" ht="12.75" customHeight="1" outlineLevel="1">
      <c r="A257" s="69" t="s">
        <v>18</v>
      </c>
      <c r="B257" s="69"/>
      <c r="C257" s="69"/>
      <c r="D257" s="69"/>
      <c r="E257" s="69"/>
      <c r="F257" s="69"/>
      <c r="G257" s="35"/>
    </row>
    <row r="258" spans="1:7" s="4" customFormat="1" ht="12.75" customHeight="1" outlineLevel="1">
      <c r="A258" s="62" t="s">
        <v>76</v>
      </c>
      <c r="B258" s="67"/>
      <c r="C258" s="21">
        <f>D20</f>
        <v>6020</v>
      </c>
      <c r="D258" s="19">
        <f>D256+(8*E256)</f>
        <v>32</v>
      </c>
      <c r="E258" s="19">
        <v>4</v>
      </c>
      <c r="F258" s="19" t="s">
        <v>134</v>
      </c>
      <c r="G258" s="35" t="s">
        <v>189</v>
      </c>
    </row>
    <row r="259" spans="1:7" s="4" customFormat="1" ht="12.75" customHeight="1" outlineLevel="1">
      <c r="A259" s="62" t="s">
        <v>77</v>
      </c>
      <c r="B259" s="67"/>
      <c r="C259" s="21">
        <f>D20</f>
        <v>6020</v>
      </c>
      <c r="D259" s="19">
        <f>D258+E258</f>
        <v>36</v>
      </c>
      <c r="E259" s="19">
        <v>4</v>
      </c>
      <c r="F259" s="19" t="s">
        <v>134</v>
      </c>
      <c r="G259" s="35" t="s">
        <v>189</v>
      </c>
    </row>
    <row r="265" spans="1:7" s="4" customFormat="1" ht="12.75" customHeight="1">
      <c r="A265" s="17" t="s">
        <v>0</v>
      </c>
      <c r="B265" s="17"/>
      <c r="C265" s="18" t="s">
        <v>1</v>
      </c>
      <c r="D265" s="18" t="s">
        <v>5</v>
      </c>
      <c r="E265" s="18" t="s">
        <v>3</v>
      </c>
      <c r="F265" s="18" t="s">
        <v>4</v>
      </c>
      <c r="G265" s="36" t="s">
        <v>188</v>
      </c>
    </row>
    <row r="266" spans="1:7" s="4" customFormat="1" ht="12.75" customHeight="1">
      <c r="A266" s="61" t="s">
        <v>195</v>
      </c>
      <c r="B266" s="61"/>
      <c r="C266" s="21">
        <f>D20</f>
        <v>6020</v>
      </c>
      <c r="D266" s="19">
        <f>D256+D259+E259</f>
        <v>40</v>
      </c>
      <c r="E266" s="19">
        <v>4</v>
      </c>
      <c r="F266" s="19" t="s">
        <v>134</v>
      </c>
      <c r="G266" s="35" t="s">
        <v>198</v>
      </c>
    </row>
    <row r="267" spans="1:7" s="4" customFormat="1" ht="12.75" customHeight="1" outlineLevel="1">
      <c r="A267" s="69" t="s">
        <v>18</v>
      </c>
      <c r="B267" s="69"/>
      <c r="C267" s="69"/>
      <c r="D267" s="69"/>
      <c r="E267" s="69"/>
      <c r="F267" s="69"/>
      <c r="G267" s="35"/>
    </row>
    <row r="268" spans="1:7" s="4" customFormat="1" ht="12.75" customHeight="1" outlineLevel="1">
      <c r="A268" s="62" t="s">
        <v>196</v>
      </c>
      <c r="B268" s="67"/>
      <c r="C268" s="21">
        <f>D20</f>
        <v>6020</v>
      </c>
      <c r="D268" s="19">
        <f>D266+(8*E266)</f>
        <v>72</v>
      </c>
      <c r="E268" s="19">
        <v>4</v>
      </c>
      <c r="F268" s="19" t="s">
        <v>134</v>
      </c>
      <c r="G268" s="35" t="s">
        <v>198</v>
      </c>
    </row>
    <row r="269" spans="1:7" s="4" customFormat="1" ht="12.75" customHeight="1" outlineLevel="1">
      <c r="A269" s="62" t="s">
        <v>197</v>
      </c>
      <c r="B269" s="67"/>
      <c r="C269" s="21">
        <f>D20</f>
        <v>6020</v>
      </c>
      <c r="D269" s="19">
        <f>D268+E268</f>
        <v>76</v>
      </c>
      <c r="E269" s="19">
        <v>4</v>
      </c>
      <c r="F269" s="19" t="s">
        <v>134</v>
      </c>
      <c r="G269" s="35" t="s">
        <v>198</v>
      </c>
    </row>
    <row r="272" spans="1:7" s="38" customFormat="1" ht="18">
      <c r="A272" s="68" t="str">
        <f>A21</f>
        <v>6. S7-&gt;PC : Analog special values</v>
      </c>
      <c r="B272" s="68"/>
      <c r="C272" s="68"/>
      <c r="D272" s="68"/>
      <c r="E272" s="68"/>
      <c r="F272" s="43"/>
    </row>
    <row r="273" spans="1:7" s="4" customFormat="1" ht="12.75" customHeight="1">
      <c r="A273" s="7"/>
      <c r="C273" s="2"/>
      <c r="D273" s="2"/>
      <c r="E273" s="2"/>
      <c r="F273" s="2"/>
    </row>
    <row r="274" spans="1:7" s="4" customFormat="1" ht="12.75" customHeight="1">
      <c r="A274" s="7"/>
      <c r="C274" s="2"/>
      <c r="D274" s="2"/>
      <c r="E274" s="2"/>
      <c r="F274" s="2"/>
    </row>
    <row r="275" spans="1:7" s="4" customFormat="1" ht="12.75" customHeight="1">
      <c r="A275" s="5"/>
      <c r="B275" s="5"/>
      <c r="C275" s="6" t="s">
        <v>1</v>
      </c>
      <c r="D275" s="6" t="s">
        <v>5</v>
      </c>
      <c r="E275" s="6" t="s">
        <v>3</v>
      </c>
      <c r="F275" s="6" t="s">
        <v>4</v>
      </c>
    </row>
    <row r="276" spans="1:7" s="4" customFormat="1" ht="12.75" customHeight="1">
      <c r="A276" s="59" t="s">
        <v>78</v>
      </c>
      <c r="B276" s="59"/>
      <c r="C276" s="22">
        <f>D21</f>
        <v>6021</v>
      </c>
      <c r="D276" s="2">
        <v>0</v>
      </c>
      <c r="E276" s="2">
        <v>4</v>
      </c>
      <c r="F276" s="2" t="s">
        <v>134</v>
      </c>
    </row>
    <row r="277" spans="1:7" s="4" customFormat="1" ht="12.75" customHeight="1" outlineLevel="1">
      <c r="A277" s="66" t="s">
        <v>18</v>
      </c>
      <c r="B277" s="66"/>
      <c r="C277" s="66"/>
      <c r="D277" s="66"/>
      <c r="E277" s="66"/>
      <c r="F277" s="66"/>
    </row>
    <row r="278" spans="1:7" s="4" customFormat="1" ht="12.75" customHeight="1" outlineLevel="1">
      <c r="A278" s="54" t="s">
        <v>79</v>
      </c>
      <c r="B278" s="65"/>
      <c r="C278" s="22">
        <f>D21</f>
        <v>6021</v>
      </c>
      <c r="D278" s="2">
        <f>D276+(8*E276)</f>
        <v>32</v>
      </c>
      <c r="E278" s="2">
        <v>4</v>
      </c>
      <c r="F278" s="2" t="s">
        <v>134</v>
      </c>
    </row>
    <row r="279" spans="1:7" s="4" customFormat="1" ht="12.75" customHeight="1" outlineLevel="1">
      <c r="A279" s="54" t="s">
        <v>80</v>
      </c>
      <c r="B279" s="65"/>
      <c r="C279" s="22">
        <f>D21</f>
        <v>6021</v>
      </c>
      <c r="D279" s="2">
        <f>D278+E278</f>
        <v>36</v>
      </c>
      <c r="E279" s="2">
        <v>4</v>
      </c>
      <c r="F279" s="2" t="s">
        <v>134</v>
      </c>
    </row>
    <row r="282" spans="1:7" s="4" customFormat="1" ht="12.75" customHeight="1">
      <c r="A282" s="15"/>
      <c r="B282" s="15"/>
      <c r="C282" s="16" t="s">
        <v>1</v>
      </c>
      <c r="D282" s="16" t="s">
        <v>5</v>
      </c>
      <c r="E282" s="16" t="s">
        <v>3</v>
      </c>
      <c r="F282" s="16" t="s">
        <v>4</v>
      </c>
      <c r="G282" s="39" t="s">
        <v>188</v>
      </c>
    </row>
    <row r="283" spans="1:7" s="4" customFormat="1" ht="12.75" customHeight="1">
      <c r="A283" s="56" t="s">
        <v>81</v>
      </c>
      <c r="B283" s="56"/>
      <c r="C283" s="23">
        <f>D21</f>
        <v>6021</v>
      </c>
      <c r="D283" s="14">
        <f>D279+E279</f>
        <v>40</v>
      </c>
      <c r="E283" s="14">
        <v>4</v>
      </c>
      <c r="F283" s="14" t="s">
        <v>134</v>
      </c>
      <c r="G283" s="40" t="s">
        <v>190</v>
      </c>
    </row>
    <row r="284" spans="1:7" s="4" customFormat="1" ht="12.75" customHeight="1" outlineLevel="1">
      <c r="A284" s="78" t="s">
        <v>18</v>
      </c>
      <c r="B284" s="78"/>
      <c r="C284" s="78"/>
      <c r="D284" s="78"/>
      <c r="E284" s="78"/>
      <c r="F284" s="78"/>
      <c r="G284" s="40"/>
    </row>
    <row r="285" spans="1:7" s="4" customFormat="1" ht="12.75" customHeight="1" outlineLevel="1">
      <c r="A285" s="57" t="s">
        <v>82</v>
      </c>
      <c r="B285" s="77"/>
      <c r="C285" s="23">
        <f>D21</f>
        <v>6021</v>
      </c>
      <c r="D285" s="14">
        <f>D283+(8*E283)</f>
        <v>72</v>
      </c>
      <c r="E285" s="14">
        <v>4</v>
      </c>
      <c r="F285" s="14" t="s">
        <v>134</v>
      </c>
      <c r="G285" s="40" t="s">
        <v>190</v>
      </c>
    </row>
    <row r="286" spans="1:7" s="4" customFormat="1" ht="12.75" customHeight="1" outlineLevel="1">
      <c r="A286" s="57" t="s">
        <v>83</v>
      </c>
      <c r="B286" s="77"/>
      <c r="C286" s="23">
        <f>D21</f>
        <v>6021</v>
      </c>
      <c r="D286" s="14">
        <f>D285+E285</f>
        <v>76</v>
      </c>
      <c r="E286" s="14">
        <v>4</v>
      </c>
      <c r="F286" s="14" t="s">
        <v>134</v>
      </c>
      <c r="G286" s="40" t="s">
        <v>190</v>
      </c>
    </row>
    <row r="289" spans="1:7" s="4" customFormat="1" ht="12.75" customHeight="1">
      <c r="A289" s="15"/>
      <c r="B289" s="15"/>
      <c r="C289" s="16" t="s">
        <v>1</v>
      </c>
      <c r="D289" s="16" t="s">
        <v>5</v>
      </c>
      <c r="E289" s="16" t="s">
        <v>3</v>
      </c>
      <c r="F289" s="16" t="s">
        <v>4</v>
      </c>
      <c r="G289" s="39" t="s">
        <v>188</v>
      </c>
    </row>
    <row r="290" spans="1:7" s="4" customFormat="1" ht="12.75" customHeight="1">
      <c r="A290" s="56" t="s">
        <v>84</v>
      </c>
      <c r="B290" s="56"/>
      <c r="C290" s="23">
        <f>D21</f>
        <v>6021</v>
      </c>
      <c r="D290" s="14">
        <f>D286+E286</f>
        <v>80</v>
      </c>
      <c r="E290" s="14">
        <v>4</v>
      </c>
      <c r="F290" s="14" t="s">
        <v>134</v>
      </c>
      <c r="G290" s="40" t="s">
        <v>190</v>
      </c>
    </row>
    <row r="291" spans="1:7" s="4" customFormat="1" ht="12.75" customHeight="1" outlineLevel="1">
      <c r="A291" s="78" t="s">
        <v>18</v>
      </c>
      <c r="B291" s="78"/>
      <c r="C291" s="78"/>
      <c r="D291" s="78"/>
      <c r="E291" s="78"/>
      <c r="F291" s="78"/>
      <c r="G291" s="40"/>
    </row>
    <row r="292" spans="1:7" s="4" customFormat="1" ht="12.75" customHeight="1" outlineLevel="1">
      <c r="A292" s="57" t="s">
        <v>85</v>
      </c>
      <c r="B292" s="77"/>
      <c r="C292" s="23">
        <f>D21</f>
        <v>6021</v>
      </c>
      <c r="D292" s="14">
        <f>D290+(8*E290)</f>
        <v>112</v>
      </c>
      <c r="E292" s="14">
        <v>4</v>
      </c>
      <c r="F292" s="14" t="s">
        <v>134</v>
      </c>
      <c r="G292" s="40" t="s">
        <v>190</v>
      </c>
    </row>
    <row r="293" spans="1:7" s="4" customFormat="1" ht="12.75" customHeight="1" outlineLevel="1">
      <c r="A293" s="57" t="s">
        <v>86</v>
      </c>
      <c r="B293" s="77"/>
      <c r="C293" s="23">
        <f>D21</f>
        <v>6021</v>
      </c>
      <c r="D293" s="14">
        <f>D292+E292</f>
        <v>116</v>
      </c>
      <c r="E293" s="14">
        <v>4</v>
      </c>
      <c r="F293" s="14" t="s">
        <v>134</v>
      </c>
      <c r="G293" s="40" t="s">
        <v>190</v>
      </c>
    </row>
    <row r="296" spans="1:7" s="4" customFormat="1" ht="12.75" customHeight="1">
      <c r="A296" s="5"/>
      <c r="B296" s="5"/>
      <c r="C296" s="6" t="s">
        <v>1</v>
      </c>
      <c r="D296" s="6" t="s">
        <v>5</v>
      </c>
      <c r="E296" s="6" t="s">
        <v>3</v>
      </c>
      <c r="F296" s="6" t="s">
        <v>4</v>
      </c>
    </row>
    <row r="297" spans="1:7" s="4" customFormat="1" ht="12.75" customHeight="1">
      <c r="A297" s="59" t="s">
        <v>92</v>
      </c>
      <c r="B297" s="59"/>
      <c r="C297" s="22">
        <f>D21</f>
        <v>6021</v>
      </c>
      <c r="D297" s="2">
        <f>D293+E293</f>
        <v>120</v>
      </c>
      <c r="E297" s="2">
        <v>4</v>
      </c>
      <c r="F297" s="2" t="s">
        <v>134</v>
      </c>
    </row>
    <row r="298" spans="1:7" s="4" customFormat="1" ht="12.75" customHeight="1" outlineLevel="1">
      <c r="A298" s="66" t="s">
        <v>18</v>
      </c>
      <c r="B298" s="66"/>
      <c r="C298" s="66"/>
      <c r="D298" s="66"/>
      <c r="E298" s="66"/>
      <c r="F298" s="66"/>
    </row>
    <row r="299" spans="1:7" s="4" customFormat="1" ht="12.75" customHeight="1" outlineLevel="1">
      <c r="A299" s="54" t="s">
        <v>91</v>
      </c>
      <c r="B299" s="65"/>
      <c r="C299" s="22">
        <f>D21</f>
        <v>6021</v>
      </c>
      <c r="D299" s="2">
        <f>D297+(8*E297)</f>
        <v>152</v>
      </c>
      <c r="E299" s="2">
        <v>4</v>
      </c>
      <c r="F299" s="2" t="s">
        <v>134</v>
      </c>
    </row>
    <row r="300" spans="1:7" s="4" customFormat="1" ht="12.75" customHeight="1" outlineLevel="1">
      <c r="A300" s="54" t="s">
        <v>90</v>
      </c>
      <c r="B300" s="65"/>
      <c r="C300" s="22">
        <f>D21</f>
        <v>6021</v>
      </c>
      <c r="D300" s="2">
        <f>D299+E299</f>
        <v>156</v>
      </c>
      <c r="E300" s="2">
        <v>4</v>
      </c>
      <c r="F300" s="2" t="s">
        <v>134</v>
      </c>
    </row>
    <row r="303" spans="1:7" s="4" customFormat="1" ht="12.75" customHeight="1">
      <c r="A303" s="5"/>
      <c r="B303" s="5"/>
      <c r="C303" s="6" t="s">
        <v>1</v>
      </c>
      <c r="D303" s="6" t="s">
        <v>5</v>
      </c>
      <c r="E303" s="6" t="s">
        <v>3</v>
      </c>
      <c r="F303" s="6" t="s">
        <v>4</v>
      </c>
    </row>
    <row r="304" spans="1:7" s="4" customFormat="1" ht="12.75" customHeight="1">
      <c r="A304" s="59" t="s">
        <v>88</v>
      </c>
      <c r="B304" s="59"/>
      <c r="C304" s="22">
        <f>D21</f>
        <v>6021</v>
      </c>
      <c r="D304" s="2">
        <f>D300+E300</f>
        <v>160</v>
      </c>
      <c r="E304" s="2">
        <v>4</v>
      </c>
      <c r="F304" s="2" t="s">
        <v>134</v>
      </c>
    </row>
    <row r="305" spans="1:7" s="4" customFormat="1" ht="12.75" customHeight="1" outlineLevel="1">
      <c r="A305" s="66" t="s">
        <v>18</v>
      </c>
      <c r="B305" s="66"/>
      <c r="C305" s="66"/>
      <c r="D305" s="66"/>
      <c r="E305" s="66"/>
      <c r="F305" s="66"/>
    </row>
    <row r="306" spans="1:7" s="4" customFormat="1" ht="12.75" customHeight="1" outlineLevel="1">
      <c r="A306" s="54" t="s">
        <v>87</v>
      </c>
      <c r="B306" s="65"/>
      <c r="C306" s="22">
        <f>D21</f>
        <v>6021</v>
      </c>
      <c r="D306" s="2">
        <f>D304+(8*E304)</f>
        <v>192</v>
      </c>
      <c r="E306" s="2">
        <v>4</v>
      </c>
      <c r="F306" s="2" t="s">
        <v>134</v>
      </c>
    </row>
    <row r="307" spans="1:7" s="4" customFormat="1" ht="12.75" customHeight="1" outlineLevel="1">
      <c r="A307" s="54" t="s">
        <v>89</v>
      </c>
      <c r="B307" s="65"/>
      <c r="C307" s="22">
        <f>D21</f>
        <v>6021</v>
      </c>
      <c r="D307" s="2">
        <f>D306+E306</f>
        <v>196</v>
      </c>
      <c r="E307" s="2">
        <v>4</v>
      </c>
      <c r="F307" s="2" t="s">
        <v>134</v>
      </c>
    </row>
    <row r="310" spans="1:7" s="4" customFormat="1" ht="12.75" customHeight="1">
      <c r="A310" s="15"/>
      <c r="B310" s="15"/>
      <c r="C310" s="16" t="s">
        <v>1</v>
      </c>
      <c r="D310" s="16" t="s">
        <v>5</v>
      </c>
      <c r="E310" s="16" t="s">
        <v>3</v>
      </c>
      <c r="F310" s="16" t="s">
        <v>4</v>
      </c>
      <c r="G310" s="39" t="s">
        <v>188</v>
      </c>
    </row>
    <row r="311" spans="1:7" s="4" customFormat="1" ht="12.75" customHeight="1">
      <c r="A311" s="56" t="s">
        <v>93</v>
      </c>
      <c r="B311" s="56"/>
      <c r="C311" s="23">
        <f>D21</f>
        <v>6021</v>
      </c>
      <c r="D311" s="14">
        <f>D307+E307</f>
        <v>200</v>
      </c>
      <c r="E311" s="14">
        <v>4</v>
      </c>
      <c r="F311" s="14" t="s">
        <v>134</v>
      </c>
      <c r="G311" s="40" t="s">
        <v>193</v>
      </c>
    </row>
    <row r="312" spans="1:7" s="4" customFormat="1" ht="12.75" customHeight="1" outlineLevel="1">
      <c r="A312" s="78" t="s">
        <v>18</v>
      </c>
      <c r="B312" s="78"/>
      <c r="C312" s="78"/>
      <c r="D312" s="78"/>
      <c r="E312" s="78"/>
      <c r="F312" s="78"/>
      <c r="G312" s="40"/>
    </row>
    <row r="313" spans="1:7" s="4" customFormat="1" ht="12.75" customHeight="1" outlineLevel="1">
      <c r="A313" s="57" t="s">
        <v>94</v>
      </c>
      <c r="B313" s="77"/>
      <c r="C313" s="23">
        <f>D21</f>
        <v>6021</v>
      </c>
      <c r="D313" s="14">
        <f>D311+(8*E311)</f>
        <v>232</v>
      </c>
      <c r="E313" s="14">
        <v>4</v>
      </c>
      <c r="F313" s="14" t="s">
        <v>134</v>
      </c>
      <c r="G313" s="40" t="s">
        <v>193</v>
      </c>
    </row>
    <row r="314" spans="1:7" s="4" customFormat="1" ht="12.75" customHeight="1" outlineLevel="1">
      <c r="A314" s="57" t="s">
        <v>95</v>
      </c>
      <c r="B314" s="77"/>
      <c r="C314" s="23">
        <f>D21</f>
        <v>6021</v>
      </c>
      <c r="D314" s="14">
        <f>D313+E313</f>
        <v>236</v>
      </c>
      <c r="E314" s="14">
        <v>4</v>
      </c>
      <c r="F314" s="14" t="s">
        <v>134</v>
      </c>
      <c r="G314" s="40" t="s">
        <v>193</v>
      </c>
    </row>
    <row r="315" spans="1:7" s="4" customFormat="1" ht="12.75" customHeight="1">
      <c r="A315" s="15"/>
      <c r="B315" s="15"/>
      <c r="C315" s="16" t="s">
        <v>1</v>
      </c>
      <c r="D315" s="16" t="s">
        <v>5</v>
      </c>
      <c r="E315" s="16" t="s">
        <v>3</v>
      </c>
      <c r="F315" s="16" t="s">
        <v>4</v>
      </c>
      <c r="G315" s="39" t="s">
        <v>188</v>
      </c>
    </row>
    <row r="316" spans="1:7" s="4" customFormat="1" ht="12.75" customHeight="1">
      <c r="A316" s="56" t="s">
        <v>96</v>
      </c>
      <c r="B316" s="56"/>
      <c r="C316" s="23">
        <f>D21</f>
        <v>6021</v>
      </c>
      <c r="D316" s="14">
        <f>D314+E314</f>
        <v>240</v>
      </c>
      <c r="E316" s="14">
        <v>4</v>
      </c>
      <c r="F316" s="14" t="s">
        <v>134</v>
      </c>
      <c r="G316" s="40" t="s">
        <v>190</v>
      </c>
    </row>
    <row r="317" spans="1:7" s="4" customFormat="1" ht="12.75" customHeight="1" outlineLevel="1">
      <c r="A317" s="78" t="s">
        <v>18</v>
      </c>
      <c r="B317" s="78"/>
      <c r="C317" s="78"/>
      <c r="D317" s="78"/>
      <c r="E317" s="78"/>
      <c r="F317" s="78"/>
      <c r="G317" s="40"/>
    </row>
    <row r="318" spans="1:7" s="4" customFormat="1" ht="12.75" customHeight="1" outlineLevel="1">
      <c r="A318" s="57" t="s">
        <v>97</v>
      </c>
      <c r="B318" s="77"/>
      <c r="C318" s="23">
        <f>D21</f>
        <v>6021</v>
      </c>
      <c r="D318" s="14">
        <f>D316+(8*E316)</f>
        <v>272</v>
      </c>
      <c r="E318" s="14">
        <v>4</v>
      </c>
      <c r="F318" s="14" t="s">
        <v>134</v>
      </c>
      <c r="G318" s="40" t="s">
        <v>190</v>
      </c>
    </row>
    <row r="319" spans="1:7" s="4" customFormat="1" ht="12.75" customHeight="1" outlineLevel="1">
      <c r="A319" s="57" t="s">
        <v>98</v>
      </c>
      <c r="B319" s="77"/>
      <c r="C319" s="23">
        <f>D21</f>
        <v>6021</v>
      </c>
      <c r="D319" s="14">
        <f>D318+E318</f>
        <v>276</v>
      </c>
      <c r="E319" s="14">
        <v>4</v>
      </c>
      <c r="F319" s="14" t="s">
        <v>134</v>
      </c>
      <c r="G319" s="40" t="s">
        <v>190</v>
      </c>
    </row>
    <row r="322" spans="1:7" s="4" customFormat="1" ht="12.75" customHeight="1">
      <c r="A322" s="5"/>
      <c r="B322" s="5"/>
      <c r="C322" s="6" t="s">
        <v>1</v>
      </c>
      <c r="D322" s="6" t="s">
        <v>5</v>
      </c>
      <c r="E322" s="6" t="s">
        <v>3</v>
      </c>
      <c r="F322" s="6" t="s">
        <v>4</v>
      </c>
      <c r="G322" s="41" t="s">
        <v>188</v>
      </c>
    </row>
    <row r="323" spans="1:7" s="4" customFormat="1" ht="12.75" customHeight="1">
      <c r="A323" s="59" t="s">
        <v>105</v>
      </c>
      <c r="B323" s="59"/>
      <c r="C323" s="22">
        <f>D21</f>
        <v>6021</v>
      </c>
      <c r="D323" s="2">
        <f>D319+E319</f>
        <v>280</v>
      </c>
      <c r="E323" s="2">
        <v>4</v>
      </c>
      <c r="F323" s="2" t="s">
        <v>134</v>
      </c>
      <c r="G323" s="37" t="s">
        <v>193</v>
      </c>
    </row>
    <row r="324" spans="1:7" s="4" customFormat="1" ht="12.75" customHeight="1" outlineLevel="1">
      <c r="A324" s="66" t="s">
        <v>18</v>
      </c>
      <c r="B324" s="66"/>
      <c r="C324" s="66"/>
      <c r="D324" s="66"/>
      <c r="E324" s="66"/>
      <c r="F324" s="66"/>
      <c r="G324" s="37"/>
    </row>
    <row r="325" spans="1:7" s="4" customFormat="1" ht="12.75" customHeight="1" outlineLevel="1">
      <c r="A325" s="54" t="s">
        <v>106</v>
      </c>
      <c r="B325" s="65"/>
      <c r="C325" s="22">
        <f>D21</f>
        <v>6021</v>
      </c>
      <c r="D325" s="2">
        <f>D323+(8*E323)</f>
        <v>312</v>
      </c>
      <c r="E325" s="2">
        <v>4</v>
      </c>
      <c r="F325" s="2" t="s">
        <v>134</v>
      </c>
      <c r="G325" s="37" t="s">
        <v>193</v>
      </c>
    </row>
    <row r="326" spans="1:7" s="4" customFormat="1" ht="12.75" customHeight="1" outlineLevel="1">
      <c r="A326" s="54" t="s">
        <v>107</v>
      </c>
      <c r="B326" s="65"/>
      <c r="C326" s="22">
        <f>D21</f>
        <v>6021</v>
      </c>
      <c r="D326" s="2">
        <f>D325+E325</f>
        <v>316</v>
      </c>
      <c r="E326" s="2">
        <v>4</v>
      </c>
      <c r="F326" s="2" t="s">
        <v>134</v>
      </c>
      <c r="G326" s="37" t="s">
        <v>193</v>
      </c>
    </row>
    <row r="329" spans="1:7" s="4" customFormat="1" ht="12.75" customHeight="1">
      <c r="A329" s="5"/>
      <c r="B329" s="5"/>
      <c r="C329" s="6" t="s">
        <v>1</v>
      </c>
      <c r="D329" s="6" t="s">
        <v>5</v>
      </c>
      <c r="E329" s="6" t="s">
        <v>3</v>
      </c>
      <c r="F329" s="6" t="s">
        <v>4</v>
      </c>
      <c r="G329" s="41" t="s">
        <v>188</v>
      </c>
    </row>
    <row r="330" spans="1:7" s="4" customFormat="1" ht="12.75" customHeight="1">
      <c r="A330" s="59" t="s">
        <v>108</v>
      </c>
      <c r="B330" s="59"/>
      <c r="C330" s="22">
        <f>D21</f>
        <v>6021</v>
      </c>
      <c r="D330" s="2">
        <f>D326+E326</f>
        <v>320</v>
      </c>
      <c r="E330" s="2">
        <v>4</v>
      </c>
      <c r="F330" s="2" t="s">
        <v>134</v>
      </c>
      <c r="G330" s="37" t="s">
        <v>193</v>
      </c>
    </row>
    <row r="331" spans="1:7" s="4" customFormat="1" ht="12.75" customHeight="1" outlineLevel="1">
      <c r="A331" s="66" t="s">
        <v>18</v>
      </c>
      <c r="B331" s="66"/>
      <c r="C331" s="66"/>
      <c r="D331" s="66"/>
      <c r="E331" s="66"/>
      <c r="F331" s="66"/>
      <c r="G331" s="37"/>
    </row>
    <row r="332" spans="1:7" s="4" customFormat="1" ht="12.75" customHeight="1" outlineLevel="1">
      <c r="A332" s="54" t="s">
        <v>109</v>
      </c>
      <c r="B332" s="65"/>
      <c r="C332" s="22">
        <f>D21</f>
        <v>6021</v>
      </c>
      <c r="D332" s="2">
        <f>D330+(8*E330)</f>
        <v>352</v>
      </c>
      <c r="E332" s="2">
        <v>4</v>
      </c>
      <c r="F332" s="2" t="s">
        <v>134</v>
      </c>
      <c r="G332" s="37" t="s">
        <v>193</v>
      </c>
    </row>
    <row r="333" spans="1:7" s="4" customFormat="1" ht="12.75" customHeight="1" outlineLevel="1">
      <c r="A333" s="54" t="s">
        <v>110</v>
      </c>
      <c r="B333" s="65"/>
      <c r="C333" s="22">
        <f>D21</f>
        <v>6021</v>
      </c>
      <c r="D333" s="2">
        <f>D332+E332</f>
        <v>356</v>
      </c>
      <c r="E333" s="2">
        <v>4</v>
      </c>
      <c r="F333" s="2" t="s">
        <v>134</v>
      </c>
      <c r="G333" s="37" t="s">
        <v>193</v>
      </c>
    </row>
    <row r="336" spans="1:7" s="4" customFormat="1" ht="12.75" customHeight="1">
      <c r="A336" s="5"/>
      <c r="B336" s="5"/>
      <c r="C336" s="6" t="s">
        <v>1</v>
      </c>
      <c r="D336" s="6" t="s">
        <v>5</v>
      </c>
      <c r="E336" s="6" t="s">
        <v>3</v>
      </c>
      <c r="F336" s="6" t="s">
        <v>4</v>
      </c>
      <c r="G336" s="41" t="s">
        <v>188</v>
      </c>
    </row>
    <row r="337" spans="1:7" s="4" customFormat="1" ht="12.75" customHeight="1">
      <c r="A337" s="59" t="s">
        <v>111</v>
      </c>
      <c r="B337" s="59"/>
      <c r="C337" s="22">
        <f>D21</f>
        <v>6021</v>
      </c>
      <c r="D337" s="2">
        <f>D333+E333</f>
        <v>360</v>
      </c>
      <c r="E337" s="2">
        <v>4</v>
      </c>
      <c r="F337" s="2" t="s">
        <v>134</v>
      </c>
      <c r="G337" s="37" t="s">
        <v>193</v>
      </c>
    </row>
    <row r="338" spans="1:7" s="4" customFormat="1" ht="12.75" customHeight="1" outlineLevel="1">
      <c r="A338" s="66" t="s">
        <v>18</v>
      </c>
      <c r="B338" s="66"/>
      <c r="C338" s="66"/>
      <c r="D338" s="66"/>
      <c r="E338" s="66"/>
      <c r="F338" s="66"/>
      <c r="G338" s="37"/>
    </row>
    <row r="339" spans="1:7" s="4" customFormat="1" ht="12.75" customHeight="1" outlineLevel="1">
      <c r="A339" s="54" t="s">
        <v>112</v>
      </c>
      <c r="B339" s="65"/>
      <c r="C339" s="22">
        <f>D21</f>
        <v>6021</v>
      </c>
      <c r="D339" s="2">
        <f>D337+(8*E337)</f>
        <v>392</v>
      </c>
      <c r="E339" s="2">
        <v>4</v>
      </c>
      <c r="F339" s="2" t="s">
        <v>134</v>
      </c>
      <c r="G339" s="37" t="s">
        <v>193</v>
      </c>
    </row>
    <row r="340" spans="1:7" s="4" customFormat="1" ht="12.75" customHeight="1" outlineLevel="1">
      <c r="A340" s="54" t="s">
        <v>113</v>
      </c>
      <c r="B340" s="65"/>
      <c r="C340" s="22">
        <f>D21</f>
        <v>6021</v>
      </c>
      <c r="D340" s="2">
        <f>D339+E339</f>
        <v>396</v>
      </c>
      <c r="E340" s="2">
        <v>4</v>
      </c>
      <c r="F340" s="2" t="s">
        <v>134</v>
      </c>
      <c r="G340" s="37" t="s">
        <v>193</v>
      </c>
    </row>
    <row r="343" spans="1:7" s="4" customFormat="1" ht="12.75" customHeight="1">
      <c r="A343" s="5"/>
      <c r="B343" s="5"/>
      <c r="C343" s="6" t="s">
        <v>1</v>
      </c>
      <c r="D343" s="6" t="s">
        <v>5</v>
      </c>
      <c r="E343" s="6" t="s">
        <v>3</v>
      </c>
      <c r="F343" s="6" t="s">
        <v>4</v>
      </c>
    </row>
    <row r="344" spans="1:7" s="4" customFormat="1" ht="12.75" customHeight="1">
      <c r="A344" s="59" t="s">
        <v>114</v>
      </c>
      <c r="B344" s="59"/>
      <c r="C344" s="22">
        <f>D21</f>
        <v>6021</v>
      </c>
      <c r="D344" s="2">
        <f>D340+E340</f>
        <v>400</v>
      </c>
      <c r="E344" s="2">
        <v>4</v>
      </c>
      <c r="F344" s="2" t="s">
        <v>134</v>
      </c>
    </row>
    <row r="345" spans="1:7" s="4" customFormat="1" ht="12.75" customHeight="1" outlineLevel="1">
      <c r="A345" s="66" t="s">
        <v>18</v>
      </c>
      <c r="B345" s="66"/>
      <c r="C345" s="66"/>
      <c r="D345" s="66"/>
      <c r="E345" s="66"/>
      <c r="F345" s="66"/>
    </row>
    <row r="346" spans="1:7" s="4" customFormat="1" ht="12.75" customHeight="1" outlineLevel="1">
      <c r="A346" s="54" t="s">
        <v>115</v>
      </c>
      <c r="B346" s="65"/>
      <c r="C346" s="22">
        <f>D21</f>
        <v>6021</v>
      </c>
      <c r="D346" s="2">
        <f>D344+(8*E344)</f>
        <v>432</v>
      </c>
      <c r="E346" s="2">
        <v>4</v>
      </c>
      <c r="F346" s="2" t="s">
        <v>134</v>
      </c>
    </row>
    <row r="347" spans="1:7" s="4" customFormat="1" ht="12.75" customHeight="1" outlineLevel="1">
      <c r="A347" s="54" t="s">
        <v>116</v>
      </c>
      <c r="B347" s="65"/>
      <c r="C347" s="22">
        <f>D21</f>
        <v>6021</v>
      </c>
      <c r="D347" s="2">
        <f>D346+E346</f>
        <v>436</v>
      </c>
      <c r="E347" s="2">
        <v>4</v>
      </c>
      <c r="F347" s="2" t="s">
        <v>134</v>
      </c>
    </row>
    <row r="350" spans="1:7" s="4" customFormat="1" ht="12.75" customHeight="1">
      <c r="A350" s="5"/>
      <c r="B350" s="5"/>
      <c r="C350" s="6" t="s">
        <v>1</v>
      </c>
      <c r="D350" s="6" t="s">
        <v>5</v>
      </c>
      <c r="E350" s="6" t="s">
        <v>3</v>
      </c>
      <c r="F350" s="6" t="s">
        <v>4</v>
      </c>
    </row>
    <row r="351" spans="1:7" s="4" customFormat="1" ht="12.75" customHeight="1">
      <c r="A351" s="59" t="s">
        <v>117</v>
      </c>
      <c r="B351" s="59"/>
      <c r="C351" s="22">
        <f>D21</f>
        <v>6021</v>
      </c>
      <c r="D351" s="2">
        <f>D347+E347</f>
        <v>440</v>
      </c>
      <c r="E351" s="2">
        <v>4</v>
      </c>
      <c r="F351" s="2" t="s">
        <v>134</v>
      </c>
    </row>
    <row r="352" spans="1:7" s="4" customFormat="1" ht="12.75" customHeight="1" outlineLevel="1">
      <c r="A352" s="66" t="s">
        <v>18</v>
      </c>
      <c r="B352" s="66"/>
      <c r="C352" s="66"/>
      <c r="D352" s="66"/>
      <c r="E352" s="66"/>
      <c r="F352" s="66"/>
    </row>
    <row r="353" spans="1:6" s="4" customFormat="1" ht="12.75" customHeight="1" outlineLevel="1">
      <c r="A353" s="54" t="s">
        <v>118</v>
      </c>
      <c r="B353" s="65"/>
      <c r="C353" s="22">
        <f>D21</f>
        <v>6021</v>
      </c>
      <c r="D353" s="2">
        <f>D351+(8*E351)</f>
        <v>472</v>
      </c>
      <c r="E353" s="2">
        <v>4</v>
      </c>
      <c r="F353" s="2" t="s">
        <v>134</v>
      </c>
    </row>
    <row r="354" spans="1:6" s="4" customFormat="1" ht="12.75" customHeight="1" outlineLevel="1">
      <c r="A354" s="54" t="s">
        <v>119</v>
      </c>
      <c r="B354" s="65"/>
      <c r="C354" s="22">
        <f>D21</f>
        <v>6021</v>
      </c>
      <c r="D354" s="2">
        <f>D353+E353</f>
        <v>476</v>
      </c>
      <c r="E354" s="2">
        <v>4</v>
      </c>
      <c r="F354" s="2" t="s">
        <v>134</v>
      </c>
    </row>
    <row r="357" spans="1:6" s="4" customFormat="1" ht="12.75" customHeight="1">
      <c r="A357" s="5"/>
      <c r="B357" s="5"/>
      <c r="C357" s="6" t="s">
        <v>1</v>
      </c>
      <c r="D357" s="6" t="s">
        <v>5</v>
      </c>
      <c r="E357" s="6" t="s">
        <v>3</v>
      </c>
      <c r="F357" s="6" t="s">
        <v>4</v>
      </c>
    </row>
    <row r="358" spans="1:6" s="4" customFormat="1" ht="12.75" customHeight="1">
      <c r="A358" s="59" t="s">
        <v>120</v>
      </c>
      <c r="B358" s="59"/>
      <c r="C358" s="22">
        <f>D21</f>
        <v>6021</v>
      </c>
      <c r="D358" s="2">
        <f>D354+E354</f>
        <v>480</v>
      </c>
      <c r="E358" s="2">
        <v>4</v>
      </c>
      <c r="F358" s="2" t="s">
        <v>134</v>
      </c>
    </row>
    <row r="359" spans="1:6" s="4" customFormat="1" ht="12.75" customHeight="1" outlineLevel="1">
      <c r="A359" s="66" t="s">
        <v>18</v>
      </c>
      <c r="B359" s="66"/>
      <c r="C359" s="66"/>
      <c r="D359" s="66"/>
      <c r="E359" s="66"/>
      <c r="F359" s="66"/>
    </row>
    <row r="360" spans="1:6" s="4" customFormat="1" ht="12.75" customHeight="1" outlineLevel="1">
      <c r="A360" s="54" t="s">
        <v>121</v>
      </c>
      <c r="B360" s="65"/>
      <c r="C360" s="22">
        <f>D21</f>
        <v>6021</v>
      </c>
      <c r="D360" s="2">
        <f>D358+(8*E358)</f>
        <v>512</v>
      </c>
      <c r="E360" s="2">
        <v>4</v>
      </c>
      <c r="F360" s="2" t="s">
        <v>134</v>
      </c>
    </row>
    <row r="361" spans="1:6" s="4" customFormat="1" ht="12.75" customHeight="1" outlineLevel="1">
      <c r="A361" s="54" t="s">
        <v>122</v>
      </c>
      <c r="B361" s="65"/>
      <c r="C361" s="22">
        <f>D21</f>
        <v>6021</v>
      </c>
      <c r="D361" s="2">
        <f>D360+E360</f>
        <v>516</v>
      </c>
      <c r="E361" s="2">
        <v>4</v>
      </c>
      <c r="F361" s="2" t="s">
        <v>134</v>
      </c>
    </row>
    <row r="363" spans="1:6" s="38" customFormat="1" ht="18">
      <c r="A363" s="68" t="str">
        <f>A22</f>
        <v>7. S7-&gt;PC : Command control</v>
      </c>
      <c r="B363" s="68"/>
      <c r="C363" s="68"/>
      <c r="D363" s="68"/>
      <c r="E363" s="68"/>
      <c r="F363" s="43"/>
    </row>
    <row r="366" spans="1:6" ht="15.75">
      <c r="A366" s="9" t="s">
        <v>123</v>
      </c>
      <c r="B366" s="9"/>
      <c r="C366" s="2"/>
    </row>
    <row r="367" spans="1:6">
      <c r="A367" s="7"/>
      <c r="B367" s="7"/>
      <c r="C367" s="2"/>
    </row>
    <row r="368" spans="1:6">
      <c r="A368" s="60" t="s">
        <v>0</v>
      </c>
      <c r="B368" s="60"/>
      <c r="C368" s="6" t="s">
        <v>56</v>
      </c>
    </row>
    <row r="369" spans="1:7">
      <c r="A369" s="63" t="s">
        <v>124</v>
      </c>
      <c r="B369" s="64"/>
      <c r="C369" s="10">
        <v>0</v>
      </c>
      <c r="E369" s="25" t="s">
        <v>148</v>
      </c>
    </row>
    <row r="370" spans="1:7">
      <c r="A370" s="54" t="s">
        <v>125</v>
      </c>
      <c r="B370" s="65"/>
      <c r="C370" s="10">
        <v>1</v>
      </c>
      <c r="E370" s="25" t="s">
        <v>149</v>
      </c>
    </row>
    <row r="371" spans="1:7">
      <c r="A371" s="55" t="s">
        <v>49</v>
      </c>
      <c r="B371" s="55"/>
      <c r="C371" s="10">
        <v>2</v>
      </c>
      <c r="E371" s="25"/>
    </row>
    <row r="372" spans="1:7">
      <c r="A372" s="55" t="s">
        <v>49</v>
      </c>
      <c r="B372" s="55"/>
      <c r="C372" s="10">
        <v>3</v>
      </c>
      <c r="E372" s="25"/>
    </row>
    <row r="373" spans="1:7">
      <c r="A373" s="54" t="s">
        <v>49</v>
      </c>
      <c r="B373" s="54"/>
      <c r="C373" s="10">
        <v>4</v>
      </c>
      <c r="E373" s="25" t="s">
        <v>159</v>
      </c>
    </row>
    <row r="374" spans="1:7">
      <c r="A374" s="54" t="s">
        <v>126</v>
      </c>
      <c r="B374" s="54"/>
      <c r="C374" s="10">
        <v>5</v>
      </c>
      <c r="E374" s="25" t="s">
        <v>159</v>
      </c>
    </row>
    <row r="375" spans="1:7">
      <c r="A375" s="54" t="s">
        <v>67</v>
      </c>
      <c r="B375" s="54"/>
      <c r="C375" s="10">
        <v>6</v>
      </c>
      <c r="E375" s="25" t="s">
        <v>150</v>
      </c>
    </row>
    <row r="376" spans="1:7">
      <c r="A376" s="54" t="s">
        <v>68</v>
      </c>
      <c r="B376" s="54"/>
      <c r="C376" s="10">
        <v>7</v>
      </c>
      <c r="E376" s="25" t="s">
        <v>151</v>
      </c>
    </row>
    <row r="377" spans="1:7">
      <c r="A377" s="82" t="s">
        <v>201</v>
      </c>
      <c r="B377" s="82"/>
      <c r="C377" s="83">
        <v>8</v>
      </c>
      <c r="D377" s="84"/>
      <c r="E377" s="85" t="s">
        <v>202</v>
      </c>
      <c r="F377" s="84"/>
      <c r="G377" s="86"/>
    </row>
    <row r="378" spans="1:7">
      <c r="A378" s="76" t="s">
        <v>127</v>
      </c>
      <c r="B378" s="76"/>
      <c r="C378" s="10">
        <v>9</v>
      </c>
      <c r="E378" s="25" t="s">
        <v>160</v>
      </c>
    </row>
    <row r="379" spans="1:7">
      <c r="A379" s="76" t="s">
        <v>131</v>
      </c>
      <c r="B379" s="76"/>
      <c r="C379" s="10">
        <v>10</v>
      </c>
      <c r="E379" s="25" t="s">
        <v>152</v>
      </c>
    </row>
    <row r="380" spans="1:7">
      <c r="A380" s="54" t="s">
        <v>161</v>
      </c>
      <c r="B380" s="54"/>
      <c r="C380" s="10">
        <v>11</v>
      </c>
      <c r="E380" s="25" t="s">
        <v>162</v>
      </c>
    </row>
    <row r="381" spans="1:7">
      <c r="A381" s="54" t="s">
        <v>128</v>
      </c>
      <c r="B381" s="54"/>
      <c r="C381" s="10">
        <v>12</v>
      </c>
      <c r="E381" s="25" t="s">
        <v>147</v>
      </c>
    </row>
    <row r="382" spans="1:7">
      <c r="A382" s="54" t="s">
        <v>129</v>
      </c>
      <c r="B382" s="54"/>
      <c r="C382" s="10">
        <v>13</v>
      </c>
      <c r="E382" s="25" t="s">
        <v>146</v>
      </c>
    </row>
    <row r="383" spans="1:7">
      <c r="A383" t="s">
        <v>130</v>
      </c>
      <c r="C383" s="10">
        <v>14</v>
      </c>
      <c r="E383" s="25" t="s">
        <v>182</v>
      </c>
    </row>
    <row r="384" spans="1:7">
      <c r="A384" s="55" t="s">
        <v>142</v>
      </c>
      <c r="B384" s="55"/>
      <c r="C384" s="10">
        <v>15</v>
      </c>
      <c r="E384" s="25" t="s">
        <v>145</v>
      </c>
    </row>
    <row r="385" spans="1:5">
      <c r="A385" s="55" t="s">
        <v>143</v>
      </c>
      <c r="B385" s="55"/>
      <c r="C385" s="10">
        <v>16</v>
      </c>
      <c r="E385" s="25" t="s">
        <v>144</v>
      </c>
    </row>
    <row r="386" spans="1:5">
      <c r="A386" s="55" t="s">
        <v>49</v>
      </c>
      <c r="B386" s="55"/>
      <c r="C386" s="10">
        <v>17</v>
      </c>
      <c r="E386" s="25"/>
    </row>
    <row r="387" spans="1:5">
      <c r="A387" s="55" t="s">
        <v>49</v>
      </c>
      <c r="B387" s="55"/>
      <c r="C387" s="10">
        <v>18</v>
      </c>
      <c r="E387" s="25"/>
    </row>
    <row r="388" spans="1:5">
      <c r="A388" s="55" t="s">
        <v>49</v>
      </c>
      <c r="B388" s="55"/>
      <c r="C388" s="10">
        <v>19</v>
      </c>
      <c r="E388" s="25"/>
    </row>
    <row r="389" spans="1:5">
      <c r="A389" s="55" t="s">
        <v>49</v>
      </c>
      <c r="B389" s="55"/>
      <c r="C389" s="10">
        <v>20</v>
      </c>
      <c r="E389" s="25"/>
    </row>
    <row r="390" spans="1:5">
      <c r="A390" s="55" t="s">
        <v>49</v>
      </c>
      <c r="B390" s="55"/>
      <c r="C390" s="10">
        <v>21</v>
      </c>
      <c r="E390" s="25"/>
    </row>
    <row r="391" spans="1:5">
      <c r="A391" s="55" t="s">
        <v>49</v>
      </c>
      <c r="B391" s="55"/>
      <c r="C391" s="10">
        <v>22</v>
      </c>
      <c r="E391" s="25"/>
    </row>
    <row r="392" spans="1:5">
      <c r="A392" s="55" t="s">
        <v>49</v>
      </c>
      <c r="B392" s="55"/>
      <c r="C392" s="10">
        <v>23</v>
      </c>
      <c r="E392" s="25"/>
    </row>
    <row r="393" spans="1:5">
      <c r="A393" s="55" t="s">
        <v>49</v>
      </c>
      <c r="B393" s="55"/>
      <c r="C393" s="10">
        <v>24</v>
      </c>
      <c r="E393" s="25"/>
    </row>
    <row r="394" spans="1:5">
      <c r="A394" s="55" t="s">
        <v>49</v>
      </c>
      <c r="B394" s="55"/>
      <c r="C394" s="10">
        <v>25</v>
      </c>
      <c r="E394" s="25"/>
    </row>
    <row r="395" spans="1:5">
      <c r="A395" s="55" t="s">
        <v>49</v>
      </c>
      <c r="B395" s="55"/>
      <c r="C395" s="10">
        <v>26</v>
      </c>
      <c r="E395" s="25"/>
    </row>
    <row r="396" spans="1:5">
      <c r="A396" s="55" t="s">
        <v>49</v>
      </c>
      <c r="B396" s="55"/>
      <c r="C396" s="10">
        <v>27</v>
      </c>
      <c r="E396" s="25"/>
    </row>
    <row r="397" spans="1:5">
      <c r="A397" s="55" t="s">
        <v>49</v>
      </c>
      <c r="B397" s="55"/>
      <c r="C397" s="10">
        <v>28</v>
      </c>
      <c r="E397" s="25"/>
    </row>
    <row r="398" spans="1:5">
      <c r="A398" s="55" t="s">
        <v>49</v>
      </c>
      <c r="B398" s="55"/>
      <c r="C398" s="10">
        <v>29</v>
      </c>
      <c r="E398" s="25"/>
    </row>
    <row r="399" spans="1:5">
      <c r="A399" s="55" t="s">
        <v>49</v>
      </c>
      <c r="B399" s="55"/>
      <c r="C399" s="10">
        <v>30</v>
      </c>
      <c r="E399" s="25"/>
    </row>
    <row r="400" spans="1:5">
      <c r="A400" s="55" t="s">
        <v>49</v>
      </c>
      <c r="B400" s="55"/>
      <c r="C400" s="10">
        <v>31</v>
      </c>
      <c r="E400" s="25"/>
    </row>
    <row r="403" spans="1:6">
      <c r="A403" s="17" t="s">
        <v>0</v>
      </c>
      <c r="B403" s="17"/>
      <c r="C403" s="18" t="s">
        <v>1</v>
      </c>
      <c r="D403" s="18" t="s">
        <v>5</v>
      </c>
      <c r="E403" s="18" t="s">
        <v>3</v>
      </c>
      <c r="F403" s="18" t="s">
        <v>4</v>
      </c>
    </row>
    <row r="404" spans="1:6">
      <c r="A404" s="62" t="s">
        <v>179</v>
      </c>
      <c r="B404" s="62"/>
      <c r="C404" s="19">
        <f>D22</f>
        <v>6022</v>
      </c>
      <c r="D404" s="19">
        <v>0</v>
      </c>
      <c r="E404" s="19">
        <v>4</v>
      </c>
      <c r="F404" s="19" t="s">
        <v>64</v>
      </c>
    </row>
    <row r="405" spans="1:6">
      <c r="A405" s="69" t="s">
        <v>18</v>
      </c>
      <c r="B405" s="69"/>
      <c r="C405" s="69"/>
      <c r="D405" s="69"/>
      <c r="E405" s="69"/>
      <c r="F405" s="69"/>
    </row>
    <row r="406" spans="1:6">
      <c r="A406" s="62" t="s">
        <v>180</v>
      </c>
      <c r="B406" s="62"/>
      <c r="C406" s="19">
        <f>D22</f>
        <v>6022</v>
      </c>
      <c r="D406" s="20">
        <f>D404+8*E404</f>
        <v>32</v>
      </c>
      <c r="E406" s="19">
        <v>4</v>
      </c>
      <c r="F406" s="19" t="s">
        <v>64</v>
      </c>
    </row>
    <row r="407" spans="1:6">
      <c r="A407" s="62" t="s">
        <v>181</v>
      </c>
      <c r="B407" s="62"/>
      <c r="C407" s="19">
        <f>D22</f>
        <v>6022</v>
      </c>
      <c r="D407" s="19">
        <f>D406+E406</f>
        <v>36</v>
      </c>
      <c r="E407" s="19">
        <v>4</v>
      </c>
      <c r="F407" s="19" t="s">
        <v>64</v>
      </c>
    </row>
    <row r="408" spans="1:6" s="38" customFormat="1" ht="18">
      <c r="A408" s="45" t="str">
        <f>A23</f>
        <v>8. S7-&gt;PC : Line command control</v>
      </c>
      <c r="B408" s="46"/>
      <c r="C408" s="47"/>
      <c r="D408" s="43"/>
      <c r="E408" s="43"/>
      <c r="F408" s="43"/>
    </row>
    <row r="409" spans="1:6">
      <c r="A409" s="7"/>
      <c r="B409" s="7"/>
      <c r="C409" s="2"/>
    </row>
    <row r="410" spans="1:6">
      <c r="A410" s="60" t="s">
        <v>0</v>
      </c>
      <c r="B410" s="60"/>
      <c r="C410" s="6" t="s">
        <v>56</v>
      </c>
    </row>
    <row r="411" spans="1:6">
      <c r="A411" s="63" t="s">
        <v>164</v>
      </c>
      <c r="B411" s="64"/>
      <c r="C411" s="10">
        <v>0</v>
      </c>
      <c r="E411" s="25"/>
    </row>
    <row r="412" spans="1:6">
      <c r="A412" s="54" t="s">
        <v>165</v>
      </c>
      <c r="B412" s="65"/>
      <c r="C412" s="10">
        <v>1</v>
      </c>
      <c r="E412" s="25"/>
    </row>
    <row r="413" spans="1:6">
      <c r="A413" s="55" t="s">
        <v>166</v>
      </c>
      <c r="B413" s="55"/>
      <c r="C413" s="10">
        <v>2</v>
      </c>
      <c r="E413" s="25"/>
    </row>
    <row r="414" spans="1:6">
      <c r="A414" s="55" t="s">
        <v>49</v>
      </c>
      <c r="B414" s="55"/>
      <c r="C414" s="10">
        <v>3</v>
      </c>
      <c r="E414" s="25"/>
    </row>
    <row r="415" spans="1:6">
      <c r="A415" s="54" t="s">
        <v>49</v>
      </c>
      <c r="B415" s="54"/>
      <c r="C415" s="10">
        <v>4</v>
      </c>
      <c r="E415" s="25"/>
    </row>
    <row r="416" spans="1:6">
      <c r="A416" s="54" t="s">
        <v>49</v>
      </c>
      <c r="B416" s="54"/>
      <c r="C416" s="10">
        <v>5</v>
      </c>
      <c r="E416" s="25"/>
    </row>
    <row r="417" spans="1:6">
      <c r="A417" s="54" t="s">
        <v>49</v>
      </c>
      <c r="B417" s="54"/>
      <c r="C417" s="10">
        <v>6</v>
      </c>
      <c r="E417" s="25"/>
    </row>
    <row r="418" spans="1:6">
      <c r="A418" s="54" t="s">
        <v>49</v>
      </c>
      <c r="B418" s="54"/>
      <c r="C418" s="10">
        <v>7</v>
      </c>
      <c r="E418" s="25"/>
    </row>
    <row r="419" spans="1:6">
      <c r="A419" s="54" t="s">
        <v>49</v>
      </c>
      <c r="B419" s="54"/>
      <c r="C419" s="10">
        <v>8</v>
      </c>
      <c r="E419" s="25"/>
    </row>
    <row r="420" spans="1:6">
      <c r="A420" s="54" t="s">
        <v>49</v>
      </c>
      <c r="B420" s="54"/>
      <c r="C420" s="10">
        <v>9</v>
      </c>
      <c r="E420" s="25"/>
    </row>
    <row r="421" spans="1:6">
      <c r="A421" s="54" t="s">
        <v>49</v>
      </c>
      <c r="B421" s="54"/>
      <c r="C421" s="2">
        <v>10</v>
      </c>
      <c r="D421" s="51"/>
      <c r="E421" s="52"/>
      <c r="F421"/>
    </row>
    <row r="422" spans="1:6">
      <c r="A422" s="62" t="s">
        <v>167</v>
      </c>
      <c r="B422" s="62"/>
      <c r="C422" s="19">
        <v>11</v>
      </c>
      <c r="D422" s="20"/>
      <c r="E422" s="27" t="s">
        <v>169</v>
      </c>
      <c r="F422" s="24" t="s">
        <v>176</v>
      </c>
    </row>
    <row r="423" spans="1:6">
      <c r="A423" s="54" t="s">
        <v>49</v>
      </c>
      <c r="B423" s="54"/>
      <c r="C423" s="2">
        <v>12</v>
      </c>
      <c r="D423" s="51"/>
      <c r="E423" s="52"/>
      <c r="F423"/>
    </row>
    <row r="424" spans="1:6">
      <c r="A424" s="54" t="s">
        <v>49</v>
      </c>
      <c r="B424" s="54"/>
      <c r="C424" s="2">
        <v>13</v>
      </c>
      <c r="D424" s="51"/>
      <c r="E424" s="52"/>
      <c r="F424"/>
    </row>
    <row r="425" spans="1:6">
      <c r="A425" s="54" t="s">
        <v>49</v>
      </c>
      <c r="B425" s="54"/>
      <c r="C425" s="2">
        <v>14</v>
      </c>
      <c r="D425" s="51"/>
      <c r="E425" s="52"/>
      <c r="F425"/>
    </row>
    <row r="426" spans="1:6">
      <c r="A426" s="62" t="s">
        <v>168</v>
      </c>
      <c r="B426" s="62"/>
      <c r="C426" s="19">
        <v>15</v>
      </c>
      <c r="D426" s="20"/>
      <c r="E426" s="27" t="s">
        <v>168</v>
      </c>
      <c r="F426" s="24" t="s">
        <v>177</v>
      </c>
    </row>
    <row r="427" spans="1:6">
      <c r="A427" s="54" t="s">
        <v>49</v>
      </c>
      <c r="B427" s="54"/>
      <c r="C427" s="2">
        <v>16</v>
      </c>
      <c r="E427" s="25"/>
    </row>
    <row r="428" spans="1:6">
      <c r="A428" s="54" t="s">
        <v>49</v>
      </c>
      <c r="B428" s="54"/>
      <c r="C428" s="10">
        <v>17</v>
      </c>
      <c r="E428" s="25"/>
    </row>
    <row r="429" spans="1:6">
      <c r="A429" s="54" t="s">
        <v>49</v>
      </c>
      <c r="B429" s="54"/>
      <c r="C429" s="10">
        <v>18</v>
      </c>
      <c r="E429" s="25"/>
    </row>
    <row r="430" spans="1:6">
      <c r="A430" s="54" t="s">
        <v>49</v>
      </c>
      <c r="B430" s="54"/>
      <c r="C430" s="10">
        <v>19</v>
      </c>
      <c r="E430" s="25"/>
    </row>
    <row r="431" spans="1:6">
      <c r="A431" s="54" t="s">
        <v>49</v>
      </c>
      <c r="B431" s="54"/>
      <c r="C431" s="10">
        <v>20</v>
      </c>
      <c r="E431" s="25"/>
    </row>
    <row r="432" spans="1:6">
      <c r="A432" s="54" t="s">
        <v>49</v>
      </c>
      <c r="B432" s="54"/>
      <c r="C432" s="10">
        <v>21</v>
      </c>
      <c r="E432" s="25"/>
    </row>
    <row r="433" spans="1:5">
      <c r="A433" s="54" t="s">
        <v>49</v>
      </c>
      <c r="B433" s="54"/>
      <c r="C433" s="10">
        <v>22</v>
      </c>
      <c r="E433" s="25"/>
    </row>
    <row r="434" spans="1:5">
      <c r="A434" s="54" t="s">
        <v>49</v>
      </c>
      <c r="B434" s="54"/>
      <c r="C434" s="10">
        <v>23</v>
      </c>
      <c r="E434" s="25"/>
    </row>
    <row r="435" spans="1:5">
      <c r="A435" s="54" t="s">
        <v>49</v>
      </c>
      <c r="B435" s="54"/>
      <c r="C435" s="10">
        <v>24</v>
      </c>
      <c r="E435" s="25"/>
    </row>
    <row r="436" spans="1:5">
      <c r="A436" s="54" t="s">
        <v>49</v>
      </c>
      <c r="B436" s="54"/>
      <c r="C436" s="10">
        <v>25</v>
      </c>
      <c r="E436" s="25"/>
    </row>
    <row r="437" spans="1:5">
      <c r="A437" s="54" t="s">
        <v>49</v>
      </c>
      <c r="B437" s="54"/>
      <c r="C437" s="10">
        <v>26</v>
      </c>
      <c r="E437" s="25"/>
    </row>
    <row r="438" spans="1:5">
      <c r="A438" s="54" t="s">
        <v>49</v>
      </c>
      <c r="B438" s="54"/>
      <c r="C438" s="10">
        <v>27</v>
      </c>
      <c r="E438" s="25"/>
    </row>
    <row r="439" spans="1:5">
      <c r="A439" s="54" t="s">
        <v>49</v>
      </c>
      <c r="B439" s="54"/>
      <c r="C439" s="10">
        <v>28</v>
      </c>
      <c r="E439" s="25"/>
    </row>
    <row r="440" spans="1:5">
      <c r="A440" s="54" t="s">
        <v>49</v>
      </c>
      <c r="B440" s="54"/>
      <c r="C440" s="10">
        <v>29</v>
      </c>
      <c r="E440" s="25"/>
    </row>
    <row r="441" spans="1:5">
      <c r="A441" s="54" t="s">
        <v>49</v>
      </c>
      <c r="B441" s="54"/>
      <c r="C441" s="10">
        <v>30</v>
      </c>
      <c r="E441" s="25"/>
    </row>
    <row r="442" spans="1:5">
      <c r="A442" s="55" t="s">
        <v>49</v>
      </c>
      <c r="B442" s="55"/>
      <c r="C442" s="10">
        <v>31</v>
      </c>
      <c r="E442" s="25"/>
    </row>
    <row r="445" spans="1:5">
      <c r="A445" s="17" t="s">
        <v>0</v>
      </c>
      <c r="B445" s="17"/>
      <c r="C445" s="18" t="s">
        <v>1</v>
      </c>
      <c r="D445" s="18" t="s">
        <v>5</v>
      </c>
      <c r="E445" s="18" t="s">
        <v>3</v>
      </c>
    </row>
    <row r="446" spans="1:5">
      <c r="A446" s="61" t="s">
        <v>163</v>
      </c>
      <c r="B446" s="62"/>
      <c r="C446" s="19">
        <f>D23</f>
        <v>6022</v>
      </c>
      <c r="D446" s="19">
        <f>D407+E407</f>
        <v>40</v>
      </c>
      <c r="E446" s="19">
        <v>4</v>
      </c>
    </row>
    <row r="449" spans="1:6" s="38" customFormat="1" ht="18">
      <c r="A449" s="68" t="str">
        <f>A24</f>
        <v>9. PC-&gt;S7 : General communication parameters</v>
      </c>
      <c r="B449" s="68"/>
      <c r="C449" s="68"/>
      <c r="D449" s="68"/>
      <c r="E449" s="68"/>
      <c r="F449" s="43"/>
    </row>
    <row r="452" spans="1:6">
      <c r="A452" s="5" t="s">
        <v>0</v>
      </c>
      <c r="B452" s="5"/>
      <c r="C452" s="6" t="s">
        <v>1</v>
      </c>
      <c r="D452" s="6" t="s">
        <v>5</v>
      </c>
      <c r="E452" s="6" t="s">
        <v>3</v>
      </c>
      <c r="F452" s="18" t="s">
        <v>4</v>
      </c>
    </row>
    <row r="453" spans="1:6">
      <c r="A453" s="61" t="s">
        <v>133</v>
      </c>
      <c r="B453" s="62"/>
      <c r="C453" s="19">
        <f>D24</f>
        <v>6030</v>
      </c>
      <c r="D453" s="19">
        <v>0</v>
      </c>
      <c r="E453" s="19">
        <v>4</v>
      </c>
      <c r="F453" s="19" t="s">
        <v>64</v>
      </c>
    </row>
    <row r="455" spans="1:6">
      <c r="A455" t="s">
        <v>132</v>
      </c>
    </row>
    <row r="457" spans="1:6" s="38" customFormat="1" ht="18">
      <c r="A457" s="45" t="str">
        <f>A25</f>
        <v>10.PC-&gt;S7 : Line process status</v>
      </c>
      <c r="B457" s="46"/>
      <c r="C457" s="47"/>
      <c r="D457" s="43"/>
      <c r="E457" s="43"/>
      <c r="F457" s="43"/>
    </row>
    <row r="458" spans="1:6">
      <c r="A458" s="7"/>
      <c r="B458" s="7"/>
      <c r="C458" s="2"/>
    </row>
    <row r="459" spans="1:6">
      <c r="A459" s="60" t="s">
        <v>0</v>
      </c>
      <c r="B459" s="60"/>
      <c r="C459" s="6" t="s">
        <v>56</v>
      </c>
    </row>
    <row r="460" spans="1:6">
      <c r="A460" s="54" t="s">
        <v>49</v>
      </c>
      <c r="B460" s="54"/>
      <c r="C460" s="10">
        <v>0</v>
      </c>
      <c r="E460" s="25"/>
    </row>
    <row r="461" spans="1:6">
      <c r="A461" s="54" t="s">
        <v>49</v>
      </c>
      <c r="B461" s="54"/>
      <c r="C461" s="10">
        <v>1</v>
      </c>
      <c r="E461" s="25"/>
    </row>
    <row r="462" spans="1:6">
      <c r="A462" s="54" t="s">
        <v>49</v>
      </c>
      <c r="B462" s="54"/>
      <c r="C462" s="10">
        <v>2</v>
      </c>
      <c r="E462" s="25"/>
    </row>
    <row r="463" spans="1:6">
      <c r="A463" s="54" t="s">
        <v>49</v>
      </c>
      <c r="B463" s="54"/>
      <c r="C463" s="10">
        <v>3</v>
      </c>
      <c r="E463" s="25"/>
    </row>
    <row r="464" spans="1:6">
      <c r="A464" s="54" t="s">
        <v>49</v>
      </c>
      <c r="B464" s="54"/>
      <c r="C464" s="10">
        <v>4</v>
      </c>
      <c r="E464" s="25"/>
    </row>
    <row r="465" spans="1:5">
      <c r="A465" s="54" t="s">
        <v>49</v>
      </c>
      <c r="B465" s="54"/>
      <c r="C465" s="10">
        <v>5</v>
      </c>
      <c r="E465" s="25"/>
    </row>
    <row r="466" spans="1:5">
      <c r="A466" s="54" t="s">
        <v>49</v>
      </c>
      <c r="B466" s="54"/>
      <c r="C466" s="10">
        <v>6</v>
      </c>
      <c r="E466" s="25"/>
    </row>
    <row r="467" spans="1:5">
      <c r="A467" s="54" t="s">
        <v>49</v>
      </c>
      <c r="B467" s="54"/>
      <c r="C467" s="10">
        <v>7</v>
      </c>
      <c r="E467" s="25"/>
    </row>
    <row r="468" spans="1:5">
      <c r="A468" s="54" t="s">
        <v>49</v>
      </c>
      <c r="B468" s="54"/>
      <c r="C468" s="10">
        <v>8</v>
      </c>
      <c r="D468" s="51"/>
      <c r="E468" s="25"/>
    </row>
    <row r="469" spans="1:5">
      <c r="A469" s="54" t="s">
        <v>49</v>
      </c>
      <c r="B469" s="54"/>
      <c r="C469" s="10">
        <v>9</v>
      </c>
      <c r="E469" s="25"/>
    </row>
    <row r="470" spans="1:5">
      <c r="A470" s="54" t="s">
        <v>49</v>
      </c>
      <c r="B470" s="54"/>
      <c r="C470" s="10">
        <v>10</v>
      </c>
      <c r="E470" s="25"/>
    </row>
    <row r="471" spans="1:5">
      <c r="A471" s="54" t="s">
        <v>49</v>
      </c>
      <c r="B471" s="54"/>
      <c r="C471" s="10">
        <v>11</v>
      </c>
      <c r="E471" s="25"/>
    </row>
    <row r="472" spans="1:5">
      <c r="A472" s="54" t="s">
        <v>49</v>
      </c>
      <c r="B472" s="54"/>
      <c r="C472" s="10">
        <v>12</v>
      </c>
      <c r="E472" s="25"/>
    </row>
    <row r="473" spans="1:5">
      <c r="A473" s="54" t="s">
        <v>49</v>
      </c>
      <c r="B473" s="54"/>
      <c r="C473" s="10">
        <v>13</v>
      </c>
      <c r="E473" s="25"/>
    </row>
    <row r="474" spans="1:5">
      <c r="A474" s="54" t="s">
        <v>49</v>
      </c>
      <c r="B474" s="54"/>
      <c r="C474" s="10">
        <v>14</v>
      </c>
      <c r="E474" s="25"/>
    </row>
    <row r="475" spans="1:5">
      <c r="A475" s="54" t="s">
        <v>49</v>
      </c>
      <c r="B475" s="54"/>
      <c r="C475" s="10">
        <v>15</v>
      </c>
      <c r="E475" s="25"/>
    </row>
    <row r="476" spans="1:5">
      <c r="A476" s="54" t="s">
        <v>49</v>
      </c>
      <c r="B476" s="54"/>
      <c r="C476" s="10">
        <v>16</v>
      </c>
      <c r="E476" s="25"/>
    </row>
    <row r="477" spans="1:5">
      <c r="A477" s="54" t="s">
        <v>49</v>
      </c>
      <c r="B477" s="54"/>
      <c r="C477" s="10">
        <v>17</v>
      </c>
      <c r="E477" s="25"/>
    </row>
    <row r="478" spans="1:5">
      <c r="A478" s="54" t="s">
        <v>49</v>
      </c>
      <c r="B478" s="54"/>
      <c r="C478" s="10">
        <v>18</v>
      </c>
      <c r="E478" s="25"/>
    </row>
    <row r="479" spans="1:5">
      <c r="A479" s="54" t="s">
        <v>49</v>
      </c>
      <c r="B479" s="54"/>
      <c r="C479" s="10">
        <v>19</v>
      </c>
      <c r="E479" s="25"/>
    </row>
    <row r="480" spans="1:5">
      <c r="A480" s="54" t="s">
        <v>49</v>
      </c>
      <c r="B480" s="54"/>
      <c r="C480" s="10">
        <v>20</v>
      </c>
      <c r="E480" s="25"/>
    </row>
    <row r="481" spans="1:6">
      <c r="A481" s="54" t="s">
        <v>49</v>
      </c>
      <c r="B481" s="54"/>
      <c r="C481" s="10">
        <v>21</v>
      </c>
      <c r="E481" s="25"/>
    </row>
    <row r="482" spans="1:6">
      <c r="A482" s="54" t="s">
        <v>49</v>
      </c>
      <c r="B482" s="54"/>
      <c r="C482" s="10">
        <v>22</v>
      </c>
      <c r="E482" s="25"/>
    </row>
    <row r="483" spans="1:6">
      <c r="A483" s="54" t="s">
        <v>49</v>
      </c>
      <c r="B483" s="54"/>
      <c r="C483" s="10">
        <v>23</v>
      </c>
      <c r="E483" s="25"/>
    </row>
    <row r="484" spans="1:6">
      <c r="A484" s="54" t="s">
        <v>49</v>
      </c>
      <c r="B484" s="54"/>
      <c r="C484" s="10">
        <v>24</v>
      </c>
      <c r="E484" s="25"/>
    </row>
    <row r="485" spans="1:6">
      <c r="A485" s="54" t="s">
        <v>49</v>
      </c>
      <c r="B485" s="54"/>
      <c r="C485" s="10">
        <v>25</v>
      </c>
      <c r="E485" s="25"/>
    </row>
    <row r="486" spans="1:6">
      <c r="A486" s="54" t="s">
        <v>49</v>
      </c>
      <c r="B486" s="54"/>
      <c r="C486" s="10">
        <v>26</v>
      </c>
      <c r="E486" s="25"/>
    </row>
    <row r="487" spans="1:6">
      <c r="A487" s="54" t="s">
        <v>49</v>
      </c>
      <c r="B487" s="54"/>
      <c r="C487" s="10">
        <v>27</v>
      </c>
      <c r="E487" s="25"/>
    </row>
    <row r="488" spans="1:6">
      <c r="A488" s="54" t="s">
        <v>49</v>
      </c>
      <c r="B488" s="54"/>
      <c r="C488" s="10">
        <v>28</v>
      </c>
      <c r="E488" s="25"/>
    </row>
    <row r="489" spans="1:6">
      <c r="A489" s="54" t="s">
        <v>49</v>
      </c>
      <c r="B489" s="54"/>
      <c r="C489" s="10">
        <v>29</v>
      </c>
      <c r="E489" s="25"/>
    </row>
    <row r="490" spans="1:6">
      <c r="A490" s="54" t="s">
        <v>49</v>
      </c>
      <c r="B490" s="54"/>
      <c r="C490" s="10">
        <v>30</v>
      </c>
      <c r="E490" s="25"/>
    </row>
    <row r="491" spans="1:6">
      <c r="A491" s="55" t="s">
        <v>49</v>
      </c>
      <c r="B491" s="55"/>
      <c r="C491" s="10">
        <v>31</v>
      </c>
      <c r="E491" s="25"/>
    </row>
    <row r="494" spans="1:6">
      <c r="A494" s="5" t="s">
        <v>0</v>
      </c>
      <c r="B494" s="5"/>
      <c r="C494" s="6" t="s">
        <v>1</v>
      </c>
      <c r="D494" s="6" t="s">
        <v>5</v>
      </c>
      <c r="E494" s="6" t="s">
        <v>3</v>
      </c>
      <c r="F494" s="6" t="s">
        <v>4</v>
      </c>
    </row>
    <row r="495" spans="1:6">
      <c r="A495" s="59" t="s">
        <v>171</v>
      </c>
      <c r="B495" s="54"/>
      <c r="C495" s="2">
        <f>D25</f>
        <v>6030</v>
      </c>
      <c r="D495" s="2">
        <f>D453+E453</f>
        <v>4</v>
      </c>
      <c r="E495" s="2">
        <v>4</v>
      </c>
      <c r="F495" s="2" t="s">
        <v>64</v>
      </c>
    </row>
    <row r="497" spans="1:6" s="38" customFormat="1" ht="18">
      <c r="A497" s="45" t="str">
        <f>A26</f>
        <v>11. PC-&gt;S7 : Line alarm status</v>
      </c>
      <c r="B497" s="46"/>
      <c r="C497" s="47"/>
      <c r="D497" s="43"/>
      <c r="E497" s="43"/>
      <c r="F497" s="43"/>
    </row>
    <row r="498" spans="1:6">
      <c r="A498" s="7"/>
      <c r="B498" s="7"/>
      <c r="C498" s="2"/>
    </row>
    <row r="499" spans="1:6">
      <c r="A499" s="60" t="s">
        <v>0</v>
      </c>
      <c r="B499" s="60"/>
      <c r="C499" s="6" t="s">
        <v>56</v>
      </c>
    </row>
    <row r="500" spans="1:6">
      <c r="A500" s="54" t="s">
        <v>49</v>
      </c>
      <c r="B500" s="54"/>
      <c r="C500" s="10">
        <v>0</v>
      </c>
      <c r="E500" s="25"/>
    </row>
    <row r="501" spans="1:6">
      <c r="A501" s="54" t="s">
        <v>49</v>
      </c>
      <c r="B501" s="54"/>
      <c r="C501" s="10">
        <v>1</v>
      </c>
      <c r="E501" s="25"/>
    </row>
    <row r="502" spans="1:6">
      <c r="A502" s="54" t="s">
        <v>49</v>
      </c>
      <c r="B502" s="54"/>
      <c r="C502" s="10">
        <v>2</v>
      </c>
      <c r="E502" s="25"/>
    </row>
    <row r="503" spans="1:6">
      <c r="A503" s="54" t="s">
        <v>49</v>
      </c>
      <c r="B503" s="54"/>
      <c r="C503" s="2">
        <v>3</v>
      </c>
      <c r="E503" s="25"/>
    </row>
    <row r="504" spans="1:6">
      <c r="A504" s="54" t="s">
        <v>49</v>
      </c>
      <c r="B504" s="54"/>
      <c r="C504" s="2">
        <v>4</v>
      </c>
      <c r="E504" s="25"/>
    </row>
    <row r="505" spans="1:6">
      <c r="A505" s="58" t="s">
        <v>175</v>
      </c>
      <c r="B505" s="58"/>
      <c r="C505" s="53">
        <v>5</v>
      </c>
      <c r="D505" s="33"/>
      <c r="E505" s="34" t="s">
        <v>178</v>
      </c>
      <c r="F505" s="33"/>
    </row>
    <row r="506" spans="1:6">
      <c r="A506" s="54" t="s">
        <v>49</v>
      </c>
      <c r="B506" s="54"/>
      <c r="C506" s="2">
        <v>6</v>
      </c>
      <c r="E506" s="25"/>
    </row>
    <row r="507" spans="1:6">
      <c r="A507" s="54" t="s">
        <v>49</v>
      </c>
      <c r="B507" s="54"/>
      <c r="C507" s="2">
        <v>7</v>
      </c>
      <c r="E507" s="25"/>
    </row>
    <row r="508" spans="1:6">
      <c r="A508" s="54" t="s">
        <v>49</v>
      </c>
      <c r="B508" s="54"/>
      <c r="C508" s="2">
        <v>8</v>
      </c>
      <c r="E508" s="25"/>
    </row>
    <row r="509" spans="1:6">
      <c r="A509" s="54" t="s">
        <v>49</v>
      </c>
      <c r="B509" s="54"/>
      <c r="C509" s="10">
        <v>9</v>
      </c>
      <c r="E509" s="25"/>
    </row>
    <row r="510" spans="1:6">
      <c r="A510" s="54" t="s">
        <v>49</v>
      </c>
      <c r="B510" s="54"/>
      <c r="C510" s="10">
        <v>10</v>
      </c>
      <c r="E510" s="25"/>
    </row>
    <row r="511" spans="1:6">
      <c r="A511" s="54" t="s">
        <v>49</v>
      </c>
      <c r="B511" s="54"/>
      <c r="C511" s="10">
        <v>11</v>
      </c>
      <c r="E511" s="25"/>
    </row>
    <row r="512" spans="1:6">
      <c r="A512" s="54" t="s">
        <v>49</v>
      </c>
      <c r="B512" s="54"/>
      <c r="C512" s="10">
        <v>12</v>
      </c>
      <c r="E512" s="25"/>
    </row>
    <row r="513" spans="1:5">
      <c r="A513" s="54" t="s">
        <v>49</v>
      </c>
      <c r="B513" s="54"/>
      <c r="C513" s="10">
        <v>13</v>
      </c>
      <c r="E513" s="25"/>
    </row>
    <row r="514" spans="1:5">
      <c r="A514" s="54" t="s">
        <v>49</v>
      </c>
      <c r="B514" s="54"/>
      <c r="C514" s="10">
        <v>14</v>
      </c>
      <c r="E514" s="25"/>
    </row>
    <row r="515" spans="1:5">
      <c r="A515" s="54" t="s">
        <v>49</v>
      </c>
      <c r="B515" s="54"/>
      <c r="C515" s="10">
        <v>15</v>
      </c>
      <c r="E515" s="25"/>
    </row>
    <row r="516" spans="1:5">
      <c r="A516" s="54" t="s">
        <v>49</v>
      </c>
      <c r="B516" s="54"/>
      <c r="C516" s="10">
        <v>16</v>
      </c>
      <c r="E516" s="25"/>
    </row>
    <row r="517" spans="1:5">
      <c r="A517" s="54" t="s">
        <v>49</v>
      </c>
      <c r="B517" s="54"/>
      <c r="C517" s="10">
        <v>17</v>
      </c>
      <c r="E517" s="25"/>
    </row>
    <row r="518" spans="1:5">
      <c r="A518" s="54" t="s">
        <v>49</v>
      </c>
      <c r="B518" s="54"/>
      <c r="C518" s="10">
        <v>18</v>
      </c>
      <c r="E518" s="25"/>
    </row>
    <row r="519" spans="1:5">
      <c r="A519" s="54" t="s">
        <v>49</v>
      </c>
      <c r="B519" s="54"/>
      <c r="C519" s="10">
        <v>19</v>
      </c>
      <c r="E519" s="25"/>
    </row>
    <row r="520" spans="1:5">
      <c r="A520" s="54" t="s">
        <v>49</v>
      </c>
      <c r="B520" s="54"/>
      <c r="C520" s="10">
        <v>20</v>
      </c>
      <c r="E520" s="25"/>
    </row>
    <row r="521" spans="1:5">
      <c r="A521" s="54" t="s">
        <v>49</v>
      </c>
      <c r="B521" s="54"/>
      <c r="C521" s="10">
        <v>21</v>
      </c>
      <c r="E521" s="25"/>
    </row>
    <row r="522" spans="1:5">
      <c r="A522" s="54" t="s">
        <v>49</v>
      </c>
      <c r="B522" s="54"/>
      <c r="C522" s="10">
        <v>22</v>
      </c>
      <c r="E522" s="25"/>
    </row>
    <row r="523" spans="1:5">
      <c r="A523" s="54" t="s">
        <v>49</v>
      </c>
      <c r="B523" s="54"/>
      <c r="C523" s="10">
        <v>23</v>
      </c>
      <c r="E523" s="25"/>
    </row>
    <row r="524" spans="1:5">
      <c r="A524" s="54" t="s">
        <v>49</v>
      </c>
      <c r="B524" s="54"/>
      <c r="C524" s="10">
        <v>24</v>
      </c>
      <c r="E524" s="25"/>
    </row>
    <row r="525" spans="1:5">
      <c r="A525" s="54" t="s">
        <v>49</v>
      </c>
      <c r="B525" s="54"/>
      <c r="C525" s="10">
        <v>25</v>
      </c>
      <c r="E525" s="25"/>
    </row>
    <row r="526" spans="1:5">
      <c r="A526" s="54" t="s">
        <v>49</v>
      </c>
      <c r="B526" s="54"/>
      <c r="C526" s="10">
        <v>26</v>
      </c>
      <c r="E526" s="25"/>
    </row>
    <row r="527" spans="1:5">
      <c r="A527" s="54" t="s">
        <v>49</v>
      </c>
      <c r="B527" s="54"/>
      <c r="C527" s="10">
        <v>27</v>
      </c>
      <c r="E527" s="25"/>
    </row>
    <row r="528" spans="1:5">
      <c r="A528" s="54" t="s">
        <v>49</v>
      </c>
      <c r="B528" s="54"/>
      <c r="C528" s="10">
        <v>28</v>
      </c>
      <c r="E528" s="25"/>
    </row>
    <row r="529" spans="1:6">
      <c r="A529" s="54" t="s">
        <v>49</v>
      </c>
      <c r="B529" s="54"/>
      <c r="C529" s="10">
        <v>29</v>
      </c>
      <c r="E529" s="25"/>
    </row>
    <row r="530" spans="1:6">
      <c r="A530" s="54" t="s">
        <v>49</v>
      </c>
      <c r="B530" s="54"/>
      <c r="C530" s="10">
        <v>30</v>
      </c>
      <c r="E530" s="25"/>
    </row>
    <row r="531" spans="1:6">
      <c r="A531" s="55" t="s">
        <v>49</v>
      </c>
      <c r="B531" s="55"/>
      <c r="C531" s="10">
        <v>31</v>
      </c>
      <c r="E531" s="25"/>
    </row>
    <row r="534" spans="1:6">
      <c r="A534" s="15" t="s">
        <v>0</v>
      </c>
      <c r="B534" s="15"/>
      <c r="C534" s="16" t="s">
        <v>1</v>
      </c>
      <c r="D534" s="16" t="s">
        <v>5</v>
      </c>
      <c r="E534" s="16" t="s">
        <v>3</v>
      </c>
      <c r="F534" s="16" t="s">
        <v>4</v>
      </c>
    </row>
    <row r="535" spans="1:6">
      <c r="A535" s="56" t="s">
        <v>172</v>
      </c>
      <c r="B535" s="57"/>
      <c r="C535" s="14">
        <f>D26</f>
        <v>6030</v>
      </c>
      <c r="D535" s="14">
        <f>D495+E495</f>
        <v>8</v>
      </c>
      <c r="E535" s="14">
        <v>4</v>
      </c>
      <c r="F535" s="14" t="s">
        <v>64</v>
      </c>
    </row>
    <row r="536" spans="1:6">
      <c r="A536" s="29"/>
      <c r="B536" s="30"/>
      <c r="C536" s="14"/>
      <c r="D536" s="14"/>
      <c r="E536" s="14"/>
      <c r="F536" s="14"/>
    </row>
    <row r="538" spans="1:6" s="38" customFormat="1" ht="18">
      <c r="A538" s="48" t="str">
        <f>A29</f>
        <v>12. Conversion from g/10s to kg/h</v>
      </c>
      <c r="C538" s="43"/>
      <c r="D538" s="43"/>
      <c r="E538" s="43"/>
      <c r="F538" s="43"/>
    </row>
    <row r="551" spans="1:6" s="49" customFormat="1" ht="18">
      <c r="A551" s="48" t="str">
        <f>A30</f>
        <v>13. Conversion from kg/h to g/10s</v>
      </c>
      <c r="C551" s="50"/>
      <c r="D551" s="50"/>
      <c r="E551" s="50"/>
      <c r="F551" s="50"/>
    </row>
  </sheetData>
  <sheetProtection selectLockedCells="1" selectUnlockedCells="1"/>
  <mergeCells count="352">
    <mergeCell ref="A7:G7"/>
    <mergeCell ref="A11:G11"/>
    <mergeCell ref="A37:G37"/>
    <mergeCell ref="A40:G40"/>
    <mergeCell ref="A405:F405"/>
    <mergeCell ref="A406:B406"/>
    <mergeCell ref="A407:B407"/>
    <mergeCell ref="A453:B453"/>
    <mergeCell ref="A449:E449"/>
    <mergeCell ref="A397:B397"/>
    <mergeCell ref="A398:B398"/>
    <mergeCell ref="A399:B399"/>
    <mergeCell ref="A400:B400"/>
    <mergeCell ref="A404:B404"/>
    <mergeCell ref="A392:B392"/>
    <mergeCell ref="A393:B393"/>
    <mergeCell ref="A394:B394"/>
    <mergeCell ref="A395:B395"/>
    <mergeCell ref="A396:B396"/>
    <mergeCell ref="A387:B387"/>
    <mergeCell ref="A388:B388"/>
    <mergeCell ref="A389:B389"/>
    <mergeCell ref="A390:B390"/>
    <mergeCell ref="A391:B391"/>
    <mergeCell ref="A382:B382"/>
    <mergeCell ref="A384:B384"/>
    <mergeCell ref="A385:B385"/>
    <mergeCell ref="A386:B386"/>
    <mergeCell ref="A377:B377"/>
    <mergeCell ref="A378:B378"/>
    <mergeCell ref="A379:B379"/>
    <mergeCell ref="A380:B380"/>
    <mergeCell ref="A381:B381"/>
    <mergeCell ref="A372:B372"/>
    <mergeCell ref="A373:B373"/>
    <mergeCell ref="A374:B374"/>
    <mergeCell ref="A375:B375"/>
    <mergeCell ref="A376:B376"/>
    <mergeCell ref="A363:E363"/>
    <mergeCell ref="A368:B368"/>
    <mergeCell ref="A369:B369"/>
    <mergeCell ref="A370:B370"/>
    <mergeCell ref="A371:B371"/>
    <mergeCell ref="A354:B354"/>
    <mergeCell ref="A358:B358"/>
    <mergeCell ref="A359:F359"/>
    <mergeCell ref="A360:B360"/>
    <mergeCell ref="A361:B361"/>
    <mergeCell ref="A346:B346"/>
    <mergeCell ref="A347:B347"/>
    <mergeCell ref="A351:B351"/>
    <mergeCell ref="A352:F352"/>
    <mergeCell ref="A353:B353"/>
    <mergeCell ref="A338:F338"/>
    <mergeCell ref="A339:B339"/>
    <mergeCell ref="A340:B340"/>
    <mergeCell ref="A344:B344"/>
    <mergeCell ref="A345:F345"/>
    <mergeCell ref="A330:B330"/>
    <mergeCell ref="A331:F331"/>
    <mergeCell ref="A332:B332"/>
    <mergeCell ref="A333:B333"/>
    <mergeCell ref="A337:B337"/>
    <mergeCell ref="A319:B319"/>
    <mergeCell ref="A323:B323"/>
    <mergeCell ref="A324:F324"/>
    <mergeCell ref="A325:B325"/>
    <mergeCell ref="A326:B326"/>
    <mergeCell ref="A313:B313"/>
    <mergeCell ref="A314:B314"/>
    <mergeCell ref="A316:B316"/>
    <mergeCell ref="A317:F317"/>
    <mergeCell ref="A318:B318"/>
    <mergeCell ref="A305:F305"/>
    <mergeCell ref="A306:B306"/>
    <mergeCell ref="A307:B307"/>
    <mergeCell ref="A311:B311"/>
    <mergeCell ref="A312:F312"/>
    <mergeCell ref="A297:B297"/>
    <mergeCell ref="A298:F298"/>
    <mergeCell ref="A299:B299"/>
    <mergeCell ref="A300:B300"/>
    <mergeCell ref="A304:B304"/>
    <mergeCell ref="A286:B286"/>
    <mergeCell ref="A290:B290"/>
    <mergeCell ref="A291:F291"/>
    <mergeCell ref="A292:B292"/>
    <mergeCell ref="A293:B293"/>
    <mergeCell ref="A278:B278"/>
    <mergeCell ref="A279:B279"/>
    <mergeCell ref="A283:B283"/>
    <mergeCell ref="A284:F284"/>
    <mergeCell ref="A285:B285"/>
    <mergeCell ref="A258:B258"/>
    <mergeCell ref="A259:B259"/>
    <mergeCell ref="A272:E272"/>
    <mergeCell ref="A276:B276"/>
    <mergeCell ref="A277:F277"/>
    <mergeCell ref="A248:B248"/>
    <mergeCell ref="A249:B249"/>
    <mergeCell ref="A252:E252"/>
    <mergeCell ref="A256:B256"/>
    <mergeCell ref="A257:F257"/>
    <mergeCell ref="A266:B266"/>
    <mergeCell ref="A267:F267"/>
    <mergeCell ref="A268:B268"/>
    <mergeCell ref="A269:B269"/>
    <mergeCell ref="A240:B240"/>
    <mergeCell ref="A241:B241"/>
    <mergeCell ref="A242:B242"/>
    <mergeCell ref="A246:B246"/>
    <mergeCell ref="A247:F247"/>
    <mergeCell ref="A235:B235"/>
    <mergeCell ref="A236:B236"/>
    <mergeCell ref="A237:B237"/>
    <mergeCell ref="A238:B238"/>
    <mergeCell ref="A239:B239"/>
    <mergeCell ref="A230:B230"/>
    <mergeCell ref="A231:B231"/>
    <mergeCell ref="A232:B232"/>
    <mergeCell ref="A233:B233"/>
    <mergeCell ref="A234:B234"/>
    <mergeCell ref="A225:B225"/>
    <mergeCell ref="A226:B226"/>
    <mergeCell ref="A227:B227"/>
    <mergeCell ref="A228:B228"/>
    <mergeCell ref="A229:B229"/>
    <mergeCell ref="A220:B220"/>
    <mergeCell ref="A221:B221"/>
    <mergeCell ref="A222:B222"/>
    <mergeCell ref="A223:B223"/>
    <mergeCell ref="A224:B224"/>
    <mergeCell ref="A215:B215"/>
    <mergeCell ref="A216:B216"/>
    <mergeCell ref="A217:B217"/>
    <mergeCell ref="A218:B218"/>
    <mergeCell ref="A219:B219"/>
    <mergeCell ref="A210:B210"/>
    <mergeCell ref="A211:B211"/>
    <mergeCell ref="A212:B212"/>
    <mergeCell ref="A213:B213"/>
    <mergeCell ref="A214:B214"/>
    <mergeCell ref="A194:B194"/>
    <mergeCell ref="A198:B198"/>
    <mergeCell ref="A199:F199"/>
    <mergeCell ref="A200:B200"/>
    <mergeCell ref="A201:B201"/>
    <mergeCell ref="A189:B189"/>
    <mergeCell ref="A190:B190"/>
    <mergeCell ref="A191:B191"/>
    <mergeCell ref="A192:B192"/>
    <mergeCell ref="A193:B193"/>
    <mergeCell ref="A184:B184"/>
    <mergeCell ref="A185:B185"/>
    <mergeCell ref="A186:B186"/>
    <mergeCell ref="A187:B187"/>
    <mergeCell ref="A188:B188"/>
    <mergeCell ref="A179:B179"/>
    <mergeCell ref="A180:B180"/>
    <mergeCell ref="A181:B181"/>
    <mergeCell ref="A182:B182"/>
    <mergeCell ref="A183:B183"/>
    <mergeCell ref="A174:B174"/>
    <mergeCell ref="A175:B175"/>
    <mergeCell ref="A176:B176"/>
    <mergeCell ref="A177:B177"/>
    <mergeCell ref="A178:B178"/>
    <mergeCell ref="A169:B169"/>
    <mergeCell ref="A170:B170"/>
    <mergeCell ref="A171:B171"/>
    <mergeCell ref="A172:B172"/>
    <mergeCell ref="A173:B173"/>
    <mergeCell ref="A164:B164"/>
    <mergeCell ref="A165:B165"/>
    <mergeCell ref="A166:B166"/>
    <mergeCell ref="A167:B167"/>
    <mergeCell ref="A168:B168"/>
    <mergeCell ref="A152:F152"/>
    <mergeCell ref="A153:B153"/>
    <mergeCell ref="A154:B154"/>
    <mergeCell ref="A162:B162"/>
    <mergeCell ref="A163:B163"/>
    <mergeCell ref="A144:B144"/>
    <mergeCell ref="A145:F145"/>
    <mergeCell ref="A146:B146"/>
    <mergeCell ref="A147:B147"/>
    <mergeCell ref="A151:B151"/>
    <mergeCell ref="A133:B133"/>
    <mergeCell ref="A137:B137"/>
    <mergeCell ref="A138:F138"/>
    <mergeCell ref="A139:B139"/>
    <mergeCell ref="A140:B140"/>
    <mergeCell ref="A125:B125"/>
    <mergeCell ref="A126:B126"/>
    <mergeCell ref="A130:B130"/>
    <mergeCell ref="A131:F131"/>
    <mergeCell ref="A132:B132"/>
    <mergeCell ref="A117:F117"/>
    <mergeCell ref="A118:B118"/>
    <mergeCell ref="A119:B119"/>
    <mergeCell ref="A123:B123"/>
    <mergeCell ref="A124:F124"/>
    <mergeCell ref="A109:B109"/>
    <mergeCell ref="A110:F110"/>
    <mergeCell ref="A111:B111"/>
    <mergeCell ref="A112:B112"/>
    <mergeCell ref="A116:B116"/>
    <mergeCell ref="A15:C15"/>
    <mergeCell ref="A17:C17"/>
    <mergeCell ref="A16:C16"/>
    <mergeCell ref="A19:C19"/>
    <mergeCell ref="A18:C18"/>
    <mergeCell ref="A50:B50"/>
    <mergeCell ref="A44:E44"/>
    <mergeCell ref="A48:B48"/>
    <mergeCell ref="A20:C20"/>
    <mergeCell ref="A21:C21"/>
    <mergeCell ref="A22:C22"/>
    <mergeCell ref="A24:C24"/>
    <mergeCell ref="A49:F49"/>
    <mergeCell ref="A62:B62"/>
    <mergeCell ref="A55:B55"/>
    <mergeCell ref="A57:B57"/>
    <mergeCell ref="A58:B58"/>
    <mergeCell ref="A51:B51"/>
    <mergeCell ref="A76:B76"/>
    <mergeCell ref="A70:E70"/>
    <mergeCell ref="A74:B74"/>
    <mergeCell ref="A64:B64"/>
    <mergeCell ref="A65:B65"/>
    <mergeCell ref="A56:F56"/>
    <mergeCell ref="A63:F63"/>
    <mergeCell ref="A75:F75"/>
    <mergeCell ref="A84:B84"/>
    <mergeCell ref="A88:B88"/>
    <mergeCell ref="A83:B83"/>
    <mergeCell ref="A77:B77"/>
    <mergeCell ref="A81:B81"/>
    <mergeCell ref="A104:B104"/>
    <mergeCell ref="A105:B105"/>
    <mergeCell ref="A97:B97"/>
    <mergeCell ref="A98:B98"/>
    <mergeCell ref="A82:F82"/>
    <mergeCell ref="A89:F89"/>
    <mergeCell ref="A96:F96"/>
    <mergeCell ref="A102:B102"/>
    <mergeCell ref="A103:F103"/>
    <mergeCell ref="A91:B91"/>
    <mergeCell ref="A95:B95"/>
    <mergeCell ref="A90:B90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6:B426"/>
    <mergeCell ref="A427:B427"/>
    <mergeCell ref="A428:B428"/>
    <mergeCell ref="A438:B438"/>
    <mergeCell ref="A439:B439"/>
    <mergeCell ref="A440:B440"/>
    <mergeCell ref="A441:B441"/>
    <mergeCell ref="A442:B442"/>
    <mergeCell ref="A446:B446"/>
    <mergeCell ref="A425:B425"/>
    <mergeCell ref="A459:B459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5:B495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9:B529"/>
    <mergeCell ref="A530:B530"/>
    <mergeCell ref="A531:B531"/>
    <mergeCell ref="A535:B535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</mergeCells>
  <phoneticPr fontId="5" type="noConversion"/>
  <hyperlinks>
    <hyperlink ref="A16:C16" location="Tabelle1!A55" display="1. PC-&gt;S7  : Analog general values" xr:uid="{FBCF3C8F-BA93-4419-8528-78DBBDF038F8}"/>
    <hyperlink ref="A17:C17" location="Tabelle1!A80" display="2. PC-&gt;S7 : Analog special values" xr:uid="{B2150767-5624-40C1-B52F-27B913A598C2}"/>
    <hyperlink ref="A18:C18" location="Tabelle1!A164" display="3. PC-&gt;S7 : Alarmstatus" xr:uid="{8F598BE8-EABC-4A6D-9520-7BC6649EB8B5}"/>
    <hyperlink ref="A19:C19" location="Tabelle1!A218" display="4. PC-&gt;S7 : Feeder Processstatus" xr:uid="{6B325760-9462-4126-A3AB-DE391CEA07A9}"/>
    <hyperlink ref="A20:C20" location="Tabelle1!A272" display="5. S7-&gt;PC : Analog general values" xr:uid="{7B7BF17F-E0A4-4114-964B-E9FBBC29890B}"/>
    <hyperlink ref="A21:C21" location="Tabelle1!A283" display="6. S7-&gt;PC : Analog special values" xr:uid="{71890682-5A90-4672-B0B8-62B41B2360DC}"/>
    <hyperlink ref="A22:C22" location="Tabelle1!A374" display="7. S7-&gt;PC : Command control" xr:uid="{8E393B3F-8824-48B9-AE02-599EA257F2E2}"/>
    <hyperlink ref="A23" location="Tabelle1!A435" display="8. S7-&gt;PC : Line command control" xr:uid="{601078F7-CFB4-4720-B1F5-018C0942323D}"/>
    <hyperlink ref="A25" location="Tabelle1!A477" display="10.PC-&gt;S7 : Line process status" xr:uid="{A7C59A86-E926-4D15-BFE3-BEC078A0FE16}"/>
    <hyperlink ref="A26" location="Tabelle1!A517" display="11. PC-&gt;S7 : Line alarm status" xr:uid="{EFFEB323-C2A4-444E-A24D-D16A479B9515}"/>
    <hyperlink ref="A24:C24" location="Tabelle1!A423" display="9. PC-&gt;S7 : General communication parameters" xr:uid="{DEF60038-40D7-4DC9-A4B1-3B404D0CE56B}"/>
    <hyperlink ref="A29" location="Tabelle1!A527" display="12. Conversion from g/10s to kg/h" xr:uid="{D8CEA815-BBD4-4CAA-97BE-12AA078C3918}"/>
    <hyperlink ref="A30" location="Tabelle1!A540" display="13. Conversion from kg/h to g/10s" xr:uid="{00DBB50B-B578-43A5-A9BB-F1DC49E51980}"/>
  </hyperlinks>
  <pageMargins left="0.78740157480314965" right="0.39370078740157483" top="0.98425196850393704" bottom="0.78740157480314965" header="0.19685039370078741" footer="0.19685039370078741"/>
  <pageSetup paperSize="9" orientation="portrait" useFirstPageNumber="1" horizontalDpi="300" verticalDpi="300" r:id="rId1"/>
  <headerFooter>
    <oddHeader>&amp;L&amp;G</oddHeader>
    <oddFooter>&amp;CSeite &amp;P</oddFooter>
  </headerFooter>
  <rowBreaks count="17" manualBreakCount="17">
    <brk id="43" max="16383" man="1"/>
    <brk id="69" max="16383" man="1"/>
    <brk id="121" max="16383" man="1"/>
    <brk id="155" max="16383" man="1"/>
    <brk id="203" max="16383" man="1"/>
    <brk id="251" max="16383" man="1"/>
    <brk id="271" max="16383" man="1"/>
    <brk id="321" max="16383" man="1"/>
    <brk id="362" max="16383" man="1"/>
    <brk id="407" max="16383" man="1"/>
    <brk id="448" max="16383" man="1"/>
    <brk id="456" max="16383" man="1"/>
    <brk id="496" max="16383" man="1"/>
    <brk id="537" max="16383" man="1"/>
    <brk id="448" max="16383" man="1"/>
    <brk id="456" max="16383" man="1"/>
    <brk id="496" max="16383" man="1"/>
  </rowBreaks>
  <drawing r:id="rId2"/>
  <legacyDrawingHF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df06216-06d3-45a2-a099-574ac2bca15a" xsi:nil="true"/>
    <lcf76f155ced4ddcb4097134ff3c332f xmlns="fde53e32-74dd-4572-8b21-cf5c0f71139f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30E75167D8021E42BAB9587E527F9B2B" ma:contentTypeVersion="9" ma:contentTypeDescription="Ein neues Dokument erstellen." ma:contentTypeScope="" ma:versionID="83ad9e7566c1ee26352bf1031e20a593">
  <xsd:schema xmlns:xsd="http://www.w3.org/2001/XMLSchema" xmlns:xs="http://www.w3.org/2001/XMLSchema" xmlns:p="http://schemas.microsoft.com/office/2006/metadata/properties" xmlns:ns2="fde53e32-74dd-4572-8b21-cf5c0f71139f" xmlns:ns3="bdf06216-06d3-45a2-a099-574ac2bca15a" targetNamespace="http://schemas.microsoft.com/office/2006/metadata/properties" ma:root="true" ma:fieldsID="7a66e91d5bb9ef4442fed3f6f324366a" ns2:_="" ns3:_="">
    <xsd:import namespace="fde53e32-74dd-4572-8b21-cf5c0f71139f"/>
    <xsd:import namespace="bdf06216-06d3-45a2-a099-574ac2bca15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53e32-74dd-4572-8b21-cf5c0f7113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ildmarkierungen" ma:readOnly="false" ma:fieldId="{5cf76f15-5ced-4ddc-b409-7134ff3c332f}" ma:taxonomyMulti="true" ma:sspId="8fdc82e2-d3ce-42fb-aac5-cfca110e0a0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f06216-06d3-45a2-a099-574ac2bca15a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797202d3-b66d-49dc-95fd-178ab13b10b5}" ma:internalName="TaxCatchAll" ma:showField="CatchAllData" ma:web="bdf06216-06d3-45a2-a099-574ac2bca1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213395F-4BC9-4805-B3AB-D11B7BD029C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783B289-9FD7-412E-AB0D-92D7CCA159E8}">
  <ds:schemaRefs>
    <ds:schemaRef ds:uri="http://schemas.microsoft.com/office/2006/metadata/properties"/>
    <ds:schemaRef ds:uri="http://schemas.microsoft.com/office/infopath/2007/PartnerControls"/>
    <ds:schemaRef ds:uri="bdf06216-06d3-45a2-a099-574ac2bca15a"/>
    <ds:schemaRef ds:uri="fde53e32-74dd-4572-8b21-cf5c0f71139f"/>
  </ds:schemaRefs>
</ds:datastoreItem>
</file>

<file path=customXml/itemProps3.xml><?xml version="1.0" encoding="utf-8"?>
<ds:datastoreItem xmlns:ds="http://schemas.openxmlformats.org/officeDocument/2006/customXml" ds:itemID="{B4C246CE-EC57-4756-86BF-B43D1B28F6F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de53e32-74dd-4572-8b21-cf5c0f71139f"/>
    <ds:schemaRef ds:uri="bdf06216-06d3-45a2-a099-574ac2bca1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Tabelle1</vt:lpstr>
      <vt:lpstr>Tabelle1!Drucktitel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Ralf Zöller</dc:creator>
  <cp:lastModifiedBy>Precision 7520</cp:lastModifiedBy>
  <cp:lastPrinted>2023-03-22T07:45:28Z</cp:lastPrinted>
  <dcterms:created xsi:type="dcterms:W3CDTF">2022-07-14T08:20:25Z</dcterms:created>
  <dcterms:modified xsi:type="dcterms:W3CDTF">2023-04-24T08:13:06Z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0x01010030E75167D8021E42BAB9587E527F9B2B</vt:lpwstr>
  </property>
  <property fmtid="{D5CDD505-2E9C-101B-9397-08002B2CF9AE}" pid="3" name="MediaServiceImageTags">
    <vt:lpwstr/>
  </property>
</Properties>
</file>